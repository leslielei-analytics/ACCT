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leslielei/Desktop/ACCT/"/>
    </mc:Choice>
  </mc:AlternateContent>
  <xr:revisionPtr revIDLastSave="0" documentId="13_ncr:1_{C2C989E7-3BAE-0A4D-A663-D2A1C971A9BB}" xr6:coauthVersionLast="47" xr6:coauthVersionMax="47" xr10:uidLastSave="{00000000-0000-0000-0000-000000000000}"/>
  <bookViews>
    <workbookView xWindow="14080" yWindow="600" windowWidth="14080" windowHeight="15220" xr2:uid="{00000000-000D-0000-FFFF-FFFF00000000}"/>
  </bookViews>
  <sheets>
    <sheet name="Financial Statements" sheetId="1" r:id="rId1"/>
    <sheet name="Transaction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6" i="2" l="1"/>
  <c r="V1006" i="2"/>
  <c r="W1005" i="2"/>
  <c r="V1005" i="2"/>
  <c r="W1004" i="2"/>
  <c r="V1004" i="2"/>
  <c r="W1003" i="2"/>
  <c r="V1003" i="2"/>
  <c r="W1002" i="2"/>
  <c r="V1002" i="2"/>
  <c r="W1001" i="2"/>
  <c r="V1001" i="2"/>
  <c r="W1000" i="2"/>
  <c r="V1000" i="2"/>
  <c r="W999" i="2"/>
  <c r="V999" i="2"/>
  <c r="W998" i="2"/>
  <c r="V998" i="2"/>
  <c r="W997" i="2"/>
  <c r="V997" i="2"/>
  <c r="W996" i="2"/>
  <c r="V996" i="2"/>
  <c r="W995" i="2"/>
  <c r="V995" i="2"/>
  <c r="W994" i="2"/>
  <c r="V994" i="2"/>
  <c r="W993" i="2"/>
  <c r="V993" i="2"/>
  <c r="W992" i="2"/>
  <c r="V992" i="2"/>
  <c r="W991" i="2"/>
  <c r="V991" i="2"/>
  <c r="W990" i="2"/>
  <c r="V990" i="2"/>
  <c r="W989" i="2"/>
  <c r="V989" i="2"/>
  <c r="W988" i="2"/>
  <c r="V988" i="2"/>
  <c r="W987" i="2"/>
  <c r="V987" i="2"/>
  <c r="W986" i="2"/>
  <c r="V986" i="2"/>
  <c r="W985" i="2"/>
  <c r="V985" i="2"/>
  <c r="W984" i="2"/>
  <c r="V984" i="2"/>
  <c r="W983" i="2"/>
  <c r="V983" i="2"/>
  <c r="W982" i="2"/>
  <c r="V982" i="2"/>
  <c r="W981" i="2"/>
  <c r="V981" i="2"/>
  <c r="W980" i="2"/>
  <c r="V980" i="2"/>
  <c r="W979" i="2"/>
  <c r="V979" i="2"/>
  <c r="W978" i="2"/>
  <c r="V978" i="2"/>
  <c r="W977" i="2"/>
  <c r="V977" i="2"/>
  <c r="W976" i="2"/>
  <c r="V976" i="2"/>
  <c r="W975" i="2"/>
  <c r="V975" i="2"/>
  <c r="W974" i="2"/>
  <c r="V974" i="2"/>
  <c r="W973" i="2"/>
  <c r="V973" i="2"/>
  <c r="W972" i="2"/>
  <c r="V972" i="2"/>
  <c r="W971" i="2"/>
  <c r="V971" i="2"/>
  <c r="W970" i="2"/>
  <c r="V970" i="2"/>
  <c r="W969" i="2"/>
  <c r="V969" i="2"/>
  <c r="W968" i="2"/>
  <c r="V968" i="2"/>
  <c r="W967" i="2"/>
  <c r="V967" i="2"/>
  <c r="W966" i="2"/>
  <c r="V966" i="2"/>
  <c r="W965" i="2"/>
  <c r="V965" i="2"/>
  <c r="W964" i="2"/>
  <c r="V964" i="2"/>
  <c r="W963" i="2"/>
  <c r="V963" i="2"/>
  <c r="W962" i="2"/>
  <c r="V962" i="2"/>
  <c r="W961" i="2"/>
  <c r="V961" i="2"/>
  <c r="W960" i="2"/>
  <c r="V960" i="2"/>
  <c r="W959" i="2"/>
  <c r="V959" i="2"/>
  <c r="W958" i="2"/>
  <c r="V958" i="2"/>
  <c r="W957" i="2"/>
  <c r="V957" i="2"/>
  <c r="W956" i="2"/>
  <c r="V956" i="2"/>
  <c r="W955" i="2"/>
  <c r="V955" i="2"/>
  <c r="W954" i="2"/>
  <c r="V954" i="2"/>
  <c r="W953" i="2"/>
  <c r="V953" i="2"/>
  <c r="W952" i="2"/>
  <c r="V952" i="2"/>
  <c r="W951" i="2"/>
  <c r="V951" i="2"/>
  <c r="W950" i="2"/>
  <c r="V950" i="2"/>
  <c r="W949" i="2"/>
  <c r="V949" i="2"/>
  <c r="W948" i="2"/>
  <c r="V948" i="2"/>
  <c r="W947" i="2"/>
  <c r="V947" i="2"/>
  <c r="W946" i="2"/>
  <c r="V946" i="2"/>
  <c r="W945" i="2"/>
  <c r="V945" i="2"/>
  <c r="W944" i="2"/>
  <c r="V944" i="2"/>
  <c r="W943" i="2"/>
  <c r="V943" i="2"/>
  <c r="W942" i="2"/>
  <c r="V942" i="2"/>
  <c r="W941" i="2"/>
  <c r="V941" i="2"/>
  <c r="W940" i="2"/>
  <c r="V940" i="2"/>
  <c r="W939" i="2"/>
  <c r="V939" i="2"/>
  <c r="W938" i="2"/>
  <c r="V938" i="2"/>
  <c r="W937" i="2"/>
  <c r="V937" i="2"/>
  <c r="W936" i="2"/>
  <c r="V936" i="2"/>
  <c r="W935" i="2"/>
  <c r="V935" i="2"/>
  <c r="W934" i="2"/>
  <c r="V934" i="2"/>
  <c r="W933" i="2"/>
  <c r="V933" i="2"/>
  <c r="W932" i="2"/>
  <c r="V932" i="2"/>
  <c r="W931" i="2"/>
  <c r="V931" i="2"/>
  <c r="W930" i="2"/>
  <c r="V930" i="2"/>
  <c r="W929" i="2"/>
  <c r="V929" i="2"/>
  <c r="W928" i="2"/>
  <c r="V928" i="2"/>
  <c r="W927" i="2"/>
  <c r="V927" i="2"/>
  <c r="W926" i="2"/>
  <c r="V926" i="2"/>
  <c r="W925" i="2"/>
  <c r="V925" i="2"/>
  <c r="W924" i="2"/>
  <c r="V924" i="2"/>
  <c r="W923" i="2"/>
  <c r="V923" i="2"/>
  <c r="W922" i="2"/>
  <c r="V922" i="2"/>
  <c r="W921" i="2"/>
  <c r="V921" i="2"/>
  <c r="W920" i="2"/>
  <c r="V920" i="2"/>
  <c r="W919" i="2"/>
  <c r="V919" i="2"/>
  <c r="W918" i="2"/>
  <c r="V918" i="2"/>
  <c r="W917" i="2"/>
  <c r="V917" i="2"/>
  <c r="W916" i="2"/>
  <c r="V916" i="2"/>
  <c r="W915" i="2"/>
  <c r="V915" i="2"/>
  <c r="W914" i="2"/>
  <c r="V914" i="2"/>
  <c r="W913" i="2"/>
  <c r="V913" i="2"/>
  <c r="W912" i="2"/>
  <c r="V912" i="2"/>
  <c r="W911" i="2"/>
  <c r="V911" i="2"/>
  <c r="W910" i="2"/>
  <c r="V910" i="2"/>
  <c r="W909" i="2"/>
  <c r="V909" i="2"/>
  <c r="W908" i="2"/>
  <c r="V908" i="2"/>
  <c r="W907" i="2"/>
  <c r="V907" i="2"/>
  <c r="W906" i="2"/>
  <c r="V906" i="2"/>
  <c r="W905" i="2"/>
  <c r="V905" i="2"/>
  <c r="W904" i="2"/>
  <c r="V904" i="2"/>
  <c r="W903" i="2"/>
  <c r="V903" i="2"/>
  <c r="W902" i="2"/>
  <c r="V902" i="2"/>
  <c r="W901" i="2"/>
  <c r="V901" i="2"/>
  <c r="W900" i="2"/>
  <c r="V900" i="2"/>
  <c r="W899" i="2"/>
  <c r="V899" i="2"/>
  <c r="W898" i="2"/>
  <c r="V898" i="2"/>
  <c r="W897" i="2"/>
  <c r="V897" i="2"/>
  <c r="W896" i="2"/>
  <c r="V896" i="2"/>
  <c r="W895" i="2"/>
  <c r="V895" i="2"/>
  <c r="W894" i="2"/>
  <c r="V894" i="2"/>
  <c r="W893" i="2"/>
  <c r="V893" i="2"/>
  <c r="W892" i="2"/>
  <c r="V892" i="2"/>
  <c r="W891" i="2"/>
  <c r="V891" i="2"/>
  <c r="W890" i="2"/>
  <c r="V890" i="2"/>
  <c r="W889" i="2"/>
  <c r="V889" i="2"/>
  <c r="W888" i="2"/>
  <c r="V888" i="2"/>
  <c r="W887" i="2"/>
  <c r="V887" i="2"/>
  <c r="W886" i="2"/>
  <c r="V886" i="2"/>
  <c r="W885" i="2"/>
  <c r="V885" i="2"/>
  <c r="W884" i="2"/>
  <c r="V884" i="2"/>
  <c r="W883" i="2"/>
  <c r="V883" i="2"/>
  <c r="W882" i="2"/>
  <c r="V882" i="2"/>
  <c r="W881" i="2"/>
  <c r="V881" i="2"/>
  <c r="W880" i="2"/>
  <c r="V880" i="2"/>
  <c r="W879" i="2"/>
  <c r="V879" i="2"/>
  <c r="W878" i="2"/>
  <c r="V878" i="2"/>
  <c r="W877" i="2"/>
  <c r="V877" i="2"/>
  <c r="W876" i="2"/>
  <c r="V876" i="2"/>
  <c r="W875" i="2"/>
  <c r="V875" i="2"/>
  <c r="W874" i="2"/>
  <c r="V874" i="2"/>
  <c r="W873" i="2"/>
  <c r="V873" i="2"/>
  <c r="W872" i="2"/>
  <c r="V872" i="2"/>
  <c r="W871" i="2"/>
  <c r="V871" i="2"/>
  <c r="W870" i="2"/>
  <c r="V870" i="2"/>
  <c r="W869" i="2"/>
  <c r="V869" i="2"/>
  <c r="W868" i="2"/>
  <c r="V868" i="2"/>
  <c r="W867" i="2"/>
  <c r="V867" i="2"/>
  <c r="W866" i="2"/>
  <c r="V866" i="2"/>
  <c r="W865" i="2"/>
  <c r="V865" i="2"/>
  <c r="W864" i="2"/>
  <c r="V864" i="2"/>
  <c r="W863" i="2"/>
  <c r="V863" i="2"/>
  <c r="W862" i="2"/>
  <c r="V862" i="2"/>
  <c r="W861" i="2"/>
  <c r="V861" i="2"/>
  <c r="W860" i="2"/>
  <c r="V860" i="2"/>
  <c r="W859" i="2"/>
  <c r="V859" i="2"/>
  <c r="W858" i="2"/>
  <c r="V858" i="2"/>
  <c r="W857" i="2"/>
  <c r="V857" i="2"/>
  <c r="W856" i="2"/>
  <c r="V856" i="2"/>
  <c r="W855" i="2"/>
  <c r="V855" i="2"/>
  <c r="W854" i="2"/>
  <c r="V854" i="2"/>
  <c r="W853" i="2"/>
  <c r="V853" i="2"/>
  <c r="W852" i="2"/>
  <c r="V852" i="2"/>
  <c r="W851" i="2"/>
  <c r="V851" i="2"/>
  <c r="W850" i="2"/>
  <c r="V850" i="2"/>
  <c r="W849" i="2"/>
  <c r="V849" i="2"/>
  <c r="W848" i="2"/>
  <c r="V848" i="2"/>
  <c r="W847" i="2"/>
  <c r="V847" i="2"/>
  <c r="W846" i="2"/>
  <c r="V846" i="2"/>
  <c r="W845" i="2"/>
  <c r="V845" i="2"/>
  <c r="W844" i="2"/>
  <c r="V844" i="2"/>
  <c r="W843" i="2"/>
  <c r="V843" i="2"/>
  <c r="W842" i="2"/>
  <c r="V842" i="2"/>
  <c r="W841" i="2"/>
  <c r="V841" i="2"/>
  <c r="W840" i="2"/>
  <c r="V840" i="2"/>
  <c r="W839" i="2"/>
  <c r="V839" i="2"/>
  <c r="W838" i="2"/>
  <c r="V838" i="2"/>
  <c r="W837" i="2"/>
  <c r="V837" i="2"/>
  <c r="W836" i="2"/>
  <c r="V836" i="2"/>
  <c r="W835" i="2"/>
  <c r="V835" i="2"/>
  <c r="W834" i="2"/>
  <c r="V834" i="2"/>
  <c r="W833" i="2"/>
  <c r="V833" i="2"/>
  <c r="W832" i="2"/>
  <c r="V832" i="2"/>
  <c r="W831" i="2"/>
  <c r="V831" i="2"/>
  <c r="W830" i="2"/>
  <c r="V830" i="2"/>
  <c r="W829" i="2"/>
  <c r="V829" i="2"/>
  <c r="W828" i="2"/>
  <c r="V828" i="2"/>
  <c r="W827" i="2"/>
  <c r="V827" i="2"/>
  <c r="W826" i="2"/>
  <c r="V826" i="2"/>
  <c r="W825" i="2"/>
  <c r="V825" i="2"/>
  <c r="W824" i="2"/>
  <c r="V824" i="2"/>
  <c r="W823" i="2"/>
  <c r="V823" i="2"/>
  <c r="W822" i="2"/>
  <c r="V822" i="2"/>
  <c r="W821" i="2"/>
  <c r="V821" i="2"/>
  <c r="W820" i="2"/>
  <c r="V820" i="2"/>
  <c r="W819" i="2"/>
  <c r="V819" i="2"/>
  <c r="W818" i="2"/>
  <c r="V818" i="2"/>
  <c r="W817" i="2"/>
  <c r="V817" i="2"/>
  <c r="W816" i="2"/>
  <c r="V816" i="2"/>
  <c r="W815" i="2"/>
  <c r="V815" i="2"/>
  <c r="W814" i="2"/>
  <c r="V814" i="2"/>
  <c r="W813" i="2"/>
  <c r="V813" i="2"/>
  <c r="W812" i="2"/>
  <c r="V812" i="2"/>
  <c r="W811" i="2"/>
  <c r="V811" i="2"/>
  <c r="W810" i="2"/>
  <c r="V810" i="2"/>
  <c r="W809" i="2"/>
  <c r="V809" i="2"/>
  <c r="W808" i="2"/>
  <c r="V808" i="2"/>
  <c r="W807" i="2"/>
  <c r="V807" i="2"/>
  <c r="W806" i="2"/>
  <c r="V806" i="2"/>
  <c r="W805" i="2"/>
  <c r="V805" i="2"/>
  <c r="W804" i="2"/>
  <c r="V804" i="2"/>
  <c r="W803" i="2"/>
  <c r="V803" i="2"/>
  <c r="W802" i="2"/>
  <c r="V802" i="2"/>
  <c r="W801" i="2"/>
  <c r="V801" i="2"/>
  <c r="W800" i="2"/>
  <c r="V800" i="2"/>
  <c r="W799" i="2"/>
  <c r="V799" i="2"/>
  <c r="W798" i="2"/>
  <c r="V798" i="2"/>
  <c r="W797" i="2"/>
  <c r="V797" i="2"/>
  <c r="W796" i="2"/>
  <c r="V796" i="2"/>
  <c r="W795" i="2"/>
  <c r="V795" i="2"/>
  <c r="W794" i="2"/>
  <c r="V794" i="2"/>
  <c r="W793" i="2"/>
  <c r="V793" i="2"/>
  <c r="W792" i="2"/>
  <c r="V792" i="2"/>
  <c r="W791" i="2"/>
  <c r="V791" i="2"/>
  <c r="W790" i="2"/>
  <c r="V790" i="2"/>
  <c r="W789" i="2"/>
  <c r="V789" i="2"/>
  <c r="W788" i="2"/>
  <c r="V788" i="2"/>
  <c r="W787" i="2"/>
  <c r="V787" i="2"/>
  <c r="W786" i="2"/>
  <c r="V786" i="2"/>
  <c r="W785" i="2"/>
  <c r="V785" i="2"/>
  <c r="W784" i="2"/>
  <c r="V784" i="2"/>
  <c r="W783" i="2"/>
  <c r="V783" i="2"/>
  <c r="W782" i="2"/>
  <c r="V782" i="2"/>
  <c r="W781" i="2"/>
  <c r="V781" i="2"/>
  <c r="W780" i="2"/>
  <c r="V780" i="2"/>
  <c r="W779" i="2"/>
  <c r="V779" i="2"/>
  <c r="W778" i="2"/>
  <c r="V778" i="2"/>
  <c r="W777" i="2"/>
  <c r="V777" i="2"/>
  <c r="W776" i="2"/>
  <c r="V776" i="2"/>
  <c r="W775" i="2"/>
  <c r="V775" i="2"/>
  <c r="W774" i="2"/>
  <c r="V774" i="2"/>
  <c r="W773" i="2"/>
  <c r="V773" i="2"/>
  <c r="W772" i="2"/>
  <c r="V772" i="2"/>
  <c r="W771" i="2"/>
  <c r="V771" i="2"/>
  <c r="W770" i="2"/>
  <c r="V770" i="2"/>
  <c r="W769" i="2"/>
  <c r="V769" i="2"/>
  <c r="W768" i="2"/>
  <c r="V768" i="2"/>
  <c r="W767" i="2"/>
  <c r="V767" i="2"/>
  <c r="W766" i="2"/>
  <c r="V766" i="2"/>
  <c r="W765" i="2"/>
  <c r="V765" i="2"/>
  <c r="W764" i="2"/>
  <c r="V764" i="2"/>
  <c r="W763" i="2"/>
  <c r="V763" i="2"/>
  <c r="W762" i="2"/>
  <c r="V762" i="2"/>
  <c r="W761" i="2"/>
  <c r="V761" i="2"/>
  <c r="W760" i="2"/>
  <c r="V760" i="2"/>
  <c r="W759" i="2"/>
  <c r="V759" i="2"/>
  <c r="W758" i="2"/>
  <c r="V758" i="2"/>
  <c r="W757" i="2"/>
  <c r="V757" i="2"/>
  <c r="W756" i="2"/>
  <c r="V756" i="2"/>
  <c r="W755" i="2"/>
  <c r="V755" i="2"/>
  <c r="W754" i="2"/>
  <c r="V754" i="2"/>
  <c r="W753" i="2"/>
  <c r="V753" i="2"/>
  <c r="W752" i="2"/>
  <c r="V752" i="2"/>
  <c r="W751" i="2"/>
  <c r="V751" i="2"/>
  <c r="W750" i="2"/>
  <c r="V750" i="2"/>
  <c r="W749" i="2"/>
  <c r="V749" i="2"/>
  <c r="W748" i="2"/>
  <c r="V748" i="2"/>
  <c r="W747" i="2"/>
  <c r="V747" i="2"/>
  <c r="W746" i="2"/>
  <c r="V746" i="2"/>
  <c r="W745" i="2"/>
  <c r="V745" i="2"/>
  <c r="W744" i="2"/>
  <c r="V744" i="2"/>
  <c r="W743" i="2"/>
  <c r="V743" i="2"/>
  <c r="W742" i="2"/>
  <c r="V742" i="2"/>
  <c r="W741" i="2"/>
  <c r="V741" i="2"/>
  <c r="W740" i="2"/>
  <c r="V740" i="2"/>
  <c r="W739" i="2"/>
  <c r="V739" i="2"/>
  <c r="W738" i="2"/>
  <c r="V738" i="2"/>
  <c r="W737" i="2"/>
  <c r="V737" i="2"/>
  <c r="W736" i="2"/>
  <c r="V736" i="2"/>
  <c r="W735" i="2"/>
  <c r="V735" i="2"/>
  <c r="W734" i="2"/>
  <c r="V734" i="2"/>
  <c r="W733" i="2"/>
  <c r="V733" i="2"/>
  <c r="W732" i="2"/>
  <c r="V732" i="2"/>
  <c r="W731" i="2"/>
  <c r="V731" i="2"/>
  <c r="W730" i="2"/>
  <c r="V730" i="2"/>
  <c r="W729" i="2"/>
  <c r="V729" i="2"/>
  <c r="W728" i="2"/>
  <c r="V728" i="2"/>
  <c r="W727" i="2"/>
  <c r="V727" i="2"/>
  <c r="W726" i="2"/>
  <c r="V726" i="2"/>
  <c r="W725" i="2"/>
  <c r="V725" i="2"/>
  <c r="W724" i="2"/>
  <c r="V724" i="2"/>
  <c r="W723" i="2"/>
  <c r="V723" i="2"/>
  <c r="W722" i="2"/>
  <c r="V722" i="2"/>
  <c r="W721" i="2"/>
  <c r="V721" i="2"/>
  <c r="W720" i="2"/>
  <c r="V720" i="2"/>
  <c r="W719" i="2"/>
  <c r="V719" i="2"/>
  <c r="W718" i="2"/>
  <c r="V718" i="2"/>
  <c r="W717" i="2"/>
  <c r="V717" i="2"/>
  <c r="W716" i="2"/>
  <c r="V716" i="2"/>
  <c r="W715" i="2"/>
  <c r="V715" i="2"/>
  <c r="W714" i="2"/>
  <c r="V714" i="2"/>
  <c r="W713" i="2"/>
  <c r="V713" i="2"/>
  <c r="W712" i="2"/>
  <c r="V712" i="2"/>
  <c r="W711" i="2"/>
  <c r="V711" i="2"/>
  <c r="W710" i="2"/>
  <c r="V710" i="2"/>
  <c r="W709" i="2"/>
  <c r="V709" i="2"/>
  <c r="W708" i="2"/>
  <c r="V708" i="2"/>
  <c r="W707" i="2"/>
  <c r="V707" i="2"/>
  <c r="W706" i="2"/>
  <c r="V706" i="2"/>
  <c r="W705" i="2"/>
  <c r="V705" i="2"/>
  <c r="W704" i="2"/>
  <c r="V704" i="2"/>
  <c r="W703" i="2"/>
  <c r="V703" i="2"/>
  <c r="W702" i="2"/>
  <c r="V702" i="2"/>
  <c r="W701" i="2"/>
  <c r="V701" i="2"/>
  <c r="W700" i="2"/>
  <c r="V700" i="2"/>
  <c r="W699" i="2"/>
  <c r="V699" i="2"/>
  <c r="W698" i="2"/>
  <c r="V698" i="2"/>
  <c r="W697" i="2"/>
  <c r="V697" i="2"/>
  <c r="W696" i="2"/>
  <c r="V696" i="2"/>
  <c r="W695" i="2"/>
  <c r="V695" i="2"/>
  <c r="W694" i="2"/>
  <c r="V694" i="2"/>
  <c r="W693" i="2"/>
  <c r="V693" i="2"/>
  <c r="W692" i="2"/>
  <c r="V692" i="2"/>
  <c r="W691" i="2"/>
  <c r="V691" i="2"/>
  <c r="W690" i="2"/>
  <c r="V690" i="2"/>
  <c r="W689" i="2"/>
  <c r="V689" i="2"/>
  <c r="W688" i="2"/>
  <c r="V688" i="2"/>
  <c r="W687" i="2"/>
  <c r="V687" i="2"/>
  <c r="W686" i="2"/>
  <c r="V686" i="2"/>
  <c r="W685" i="2"/>
  <c r="V685" i="2"/>
  <c r="W684" i="2"/>
  <c r="V684" i="2"/>
  <c r="W683" i="2"/>
  <c r="V683" i="2"/>
  <c r="W682" i="2"/>
  <c r="V682" i="2"/>
  <c r="W681" i="2"/>
  <c r="V681" i="2"/>
  <c r="W680" i="2"/>
  <c r="V680" i="2"/>
  <c r="W679" i="2"/>
  <c r="V679" i="2"/>
  <c r="W678" i="2"/>
  <c r="V678" i="2"/>
  <c r="W677" i="2"/>
  <c r="V677" i="2"/>
  <c r="W676" i="2"/>
  <c r="V676" i="2"/>
  <c r="W675" i="2"/>
  <c r="V675" i="2"/>
  <c r="W674" i="2"/>
  <c r="V674" i="2"/>
  <c r="W673" i="2"/>
  <c r="V673" i="2"/>
  <c r="W672" i="2"/>
  <c r="V672" i="2"/>
  <c r="W671" i="2"/>
  <c r="V671" i="2"/>
  <c r="W670" i="2"/>
  <c r="V670" i="2"/>
  <c r="W669" i="2"/>
  <c r="V669" i="2"/>
  <c r="W668" i="2"/>
  <c r="V668" i="2"/>
  <c r="W667" i="2"/>
  <c r="V667" i="2"/>
  <c r="W666" i="2"/>
  <c r="V666" i="2"/>
  <c r="W665" i="2"/>
  <c r="V665" i="2"/>
  <c r="W664" i="2"/>
  <c r="V664" i="2"/>
  <c r="W663" i="2"/>
  <c r="V663" i="2"/>
  <c r="W662" i="2"/>
  <c r="V662" i="2"/>
  <c r="W661" i="2"/>
  <c r="V661" i="2"/>
  <c r="W660" i="2"/>
  <c r="V660" i="2"/>
  <c r="W659" i="2"/>
  <c r="V659" i="2"/>
  <c r="W658" i="2"/>
  <c r="V658" i="2"/>
  <c r="W657" i="2"/>
  <c r="V657" i="2"/>
  <c r="W656" i="2"/>
  <c r="V656" i="2"/>
  <c r="W655" i="2"/>
  <c r="V655" i="2"/>
  <c r="W654" i="2"/>
  <c r="V654" i="2"/>
  <c r="W653" i="2"/>
  <c r="V653" i="2"/>
  <c r="W652" i="2"/>
  <c r="V652" i="2"/>
  <c r="W651" i="2"/>
  <c r="V651" i="2"/>
  <c r="W650" i="2"/>
  <c r="V650" i="2"/>
  <c r="W649" i="2"/>
  <c r="V649" i="2"/>
  <c r="W648" i="2"/>
  <c r="V648" i="2"/>
  <c r="W647" i="2"/>
  <c r="V647" i="2"/>
  <c r="W646" i="2"/>
  <c r="V646" i="2"/>
  <c r="W645" i="2"/>
  <c r="V645" i="2"/>
  <c r="W644" i="2"/>
  <c r="V644" i="2"/>
  <c r="W643" i="2"/>
  <c r="V643" i="2"/>
  <c r="W642" i="2"/>
  <c r="V642" i="2"/>
  <c r="W641" i="2"/>
  <c r="V641" i="2"/>
  <c r="W640" i="2"/>
  <c r="V640" i="2"/>
  <c r="W639" i="2"/>
  <c r="V639" i="2"/>
  <c r="W638" i="2"/>
  <c r="V638" i="2"/>
  <c r="W637" i="2"/>
  <c r="V637" i="2"/>
  <c r="W636" i="2"/>
  <c r="V636" i="2"/>
  <c r="W635" i="2"/>
  <c r="V635" i="2"/>
  <c r="W634" i="2"/>
  <c r="V634" i="2"/>
  <c r="W633" i="2"/>
  <c r="V633" i="2"/>
  <c r="W632" i="2"/>
  <c r="V632" i="2"/>
  <c r="W631" i="2"/>
  <c r="V631" i="2"/>
  <c r="W630" i="2"/>
  <c r="V630" i="2"/>
  <c r="W629" i="2"/>
  <c r="V629" i="2"/>
  <c r="W628" i="2"/>
  <c r="V628" i="2"/>
  <c r="W627" i="2"/>
  <c r="V627" i="2"/>
  <c r="W626" i="2"/>
  <c r="V626" i="2"/>
  <c r="W625" i="2"/>
  <c r="V625" i="2"/>
  <c r="W624" i="2"/>
  <c r="V624" i="2"/>
  <c r="W623" i="2"/>
  <c r="V623" i="2"/>
  <c r="W622" i="2"/>
  <c r="V622" i="2"/>
  <c r="W621" i="2"/>
  <c r="V621" i="2"/>
  <c r="W620" i="2"/>
  <c r="V620" i="2"/>
  <c r="W619" i="2"/>
  <c r="V619" i="2"/>
  <c r="W618" i="2"/>
  <c r="V618" i="2"/>
  <c r="W617" i="2"/>
  <c r="V617" i="2"/>
  <c r="W616" i="2"/>
  <c r="V616" i="2"/>
  <c r="W615" i="2"/>
  <c r="V615" i="2"/>
  <c r="W614" i="2"/>
  <c r="V614" i="2"/>
  <c r="W613" i="2"/>
  <c r="V613" i="2"/>
  <c r="W612" i="2"/>
  <c r="V612" i="2"/>
  <c r="W611" i="2"/>
  <c r="V611" i="2"/>
  <c r="W610" i="2"/>
  <c r="V610" i="2"/>
  <c r="W609" i="2"/>
  <c r="V609" i="2"/>
  <c r="W608" i="2"/>
  <c r="V608" i="2"/>
  <c r="W607" i="2"/>
  <c r="V607" i="2"/>
  <c r="W606" i="2"/>
  <c r="V606" i="2"/>
  <c r="W605" i="2"/>
  <c r="V605" i="2"/>
  <c r="W604" i="2"/>
  <c r="V604" i="2"/>
  <c r="W603" i="2"/>
  <c r="V603" i="2"/>
  <c r="W602" i="2"/>
  <c r="V602" i="2"/>
  <c r="W601" i="2"/>
  <c r="V601" i="2"/>
  <c r="W600" i="2"/>
  <c r="V600" i="2"/>
  <c r="W599" i="2"/>
  <c r="V599" i="2"/>
  <c r="W598" i="2"/>
  <c r="V598" i="2"/>
  <c r="W597" i="2"/>
  <c r="V597" i="2"/>
  <c r="W596" i="2"/>
  <c r="V596" i="2"/>
  <c r="W595" i="2"/>
  <c r="V595" i="2"/>
  <c r="W594" i="2"/>
  <c r="V594" i="2"/>
  <c r="W593" i="2"/>
  <c r="V593" i="2"/>
  <c r="W592" i="2"/>
  <c r="V592" i="2"/>
  <c r="W591" i="2"/>
  <c r="V591" i="2"/>
  <c r="W590" i="2"/>
  <c r="V590" i="2"/>
  <c r="W589" i="2"/>
  <c r="V589" i="2"/>
  <c r="W588" i="2"/>
  <c r="V588" i="2"/>
  <c r="W587" i="2"/>
  <c r="V587" i="2"/>
  <c r="W586" i="2"/>
  <c r="V586" i="2"/>
  <c r="W585" i="2"/>
  <c r="V585" i="2"/>
  <c r="W584" i="2"/>
  <c r="V584" i="2"/>
  <c r="W583" i="2"/>
  <c r="V583" i="2"/>
  <c r="W582" i="2"/>
  <c r="V582" i="2"/>
  <c r="W581" i="2"/>
  <c r="V581" i="2"/>
  <c r="W580" i="2"/>
  <c r="V580" i="2"/>
  <c r="W579" i="2"/>
  <c r="V579" i="2"/>
  <c r="W578" i="2"/>
  <c r="V578" i="2"/>
  <c r="W577" i="2"/>
  <c r="V577" i="2"/>
  <c r="W576" i="2"/>
  <c r="V576" i="2"/>
  <c r="W575" i="2"/>
  <c r="V575" i="2"/>
  <c r="W574" i="2"/>
  <c r="V574" i="2"/>
  <c r="W573" i="2"/>
  <c r="V573" i="2"/>
  <c r="W572" i="2"/>
  <c r="V572" i="2"/>
  <c r="W571" i="2"/>
  <c r="V571" i="2"/>
  <c r="W570" i="2"/>
  <c r="V570" i="2"/>
  <c r="W569" i="2"/>
  <c r="V569" i="2"/>
  <c r="W568" i="2"/>
  <c r="V568" i="2"/>
  <c r="W567" i="2"/>
  <c r="V567" i="2"/>
  <c r="W566" i="2"/>
  <c r="V566" i="2"/>
  <c r="W565" i="2"/>
  <c r="V565" i="2"/>
  <c r="W564" i="2"/>
  <c r="V564" i="2"/>
  <c r="W563" i="2"/>
  <c r="V563" i="2"/>
  <c r="W562" i="2"/>
  <c r="V562" i="2"/>
  <c r="W561" i="2"/>
  <c r="V561" i="2"/>
  <c r="W560" i="2"/>
  <c r="V560" i="2"/>
  <c r="W559" i="2"/>
  <c r="V559" i="2"/>
  <c r="W558" i="2"/>
  <c r="V558" i="2"/>
  <c r="W557" i="2"/>
  <c r="V557" i="2"/>
  <c r="W556" i="2"/>
  <c r="V556" i="2"/>
  <c r="W555" i="2"/>
  <c r="V555" i="2"/>
  <c r="W554" i="2"/>
  <c r="V554" i="2"/>
  <c r="W553" i="2"/>
  <c r="V553" i="2"/>
  <c r="W552" i="2"/>
  <c r="V552" i="2"/>
  <c r="W551" i="2"/>
  <c r="V551" i="2"/>
  <c r="W550" i="2"/>
  <c r="V550" i="2"/>
  <c r="W549" i="2"/>
  <c r="V549" i="2"/>
  <c r="W548" i="2"/>
  <c r="V548" i="2"/>
  <c r="W547" i="2"/>
  <c r="V547" i="2"/>
  <c r="W546" i="2"/>
  <c r="V546" i="2"/>
  <c r="W545" i="2"/>
  <c r="V545" i="2"/>
  <c r="W544" i="2"/>
  <c r="V544" i="2"/>
  <c r="W543" i="2"/>
  <c r="V543" i="2"/>
  <c r="W542" i="2"/>
  <c r="V542" i="2"/>
  <c r="W541" i="2"/>
  <c r="V541" i="2"/>
  <c r="W540" i="2"/>
  <c r="V540" i="2"/>
  <c r="W539" i="2"/>
  <c r="V539" i="2"/>
  <c r="W538" i="2"/>
  <c r="V538" i="2"/>
  <c r="W537" i="2"/>
  <c r="V537" i="2"/>
  <c r="W536" i="2"/>
  <c r="V536" i="2"/>
  <c r="W535" i="2"/>
  <c r="V535" i="2"/>
  <c r="W534" i="2"/>
  <c r="V534" i="2"/>
  <c r="W533" i="2"/>
  <c r="V533" i="2"/>
  <c r="W532" i="2"/>
  <c r="V532" i="2"/>
  <c r="W531" i="2"/>
  <c r="V531" i="2"/>
  <c r="W530" i="2"/>
  <c r="V530" i="2"/>
  <c r="W529" i="2"/>
  <c r="V529" i="2"/>
  <c r="W528" i="2"/>
  <c r="V528" i="2"/>
  <c r="W527" i="2"/>
  <c r="V527" i="2"/>
  <c r="W526" i="2"/>
  <c r="V526" i="2"/>
  <c r="W525" i="2"/>
  <c r="V525" i="2"/>
  <c r="W524" i="2"/>
  <c r="V524" i="2"/>
  <c r="W523" i="2"/>
  <c r="V523" i="2"/>
  <c r="W522" i="2"/>
  <c r="V522" i="2"/>
  <c r="W521" i="2"/>
  <c r="V521" i="2"/>
  <c r="W520" i="2"/>
  <c r="V520" i="2"/>
  <c r="W519" i="2"/>
  <c r="V519" i="2"/>
  <c r="W518" i="2"/>
  <c r="V518" i="2"/>
  <c r="W517" i="2"/>
  <c r="V517" i="2"/>
  <c r="W516" i="2"/>
  <c r="V516" i="2"/>
  <c r="W515" i="2"/>
  <c r="V515" i="2"/>
  <c r="W514" i="2"/>
  <c r="V514" i="2"/>
  <c r="W513" i="2"/>
  <c r="V513" i="2"/>
  <c r="W512" i="2"/>
  <c r="V512" i="2"/>
  <c r="W511" i="2"/>
  <c r="V511" i="2"/>
  <c r="W510" i="2"/>
  <c r="V510" i="2"/>
  <c r="W509" i="2"/>
  <c r="V509" i="2"/>
  <c r="W508" i="2"/>
  <c r="V508" i="2"/>
  <c r="W507" i="2"/>
  <c r="V507" i="2"/>
  <c r="W506" i="2"/>
  <c r="V506" i="2"/>
  <c r="W505" i="2"/>
  <c r="V505" i="2"/>
  <c r="W504" i="2"/>
  <c r="V504" i="2"/>
  <c r="W503" i="2"/>
  <c r="V503" i="2"/>
  <c r="W502" i="2"/>
  <c r="V502" i="2"/>
  <c r="W501" i="2"/>
  <c r="V501" i="2"/>
  <c r="W500" i="2"/>
  <c r="V500" i="2"/>
  <c r="W499" i="2"/>
  <c r="V499" i="2"/>
  <c r="W498" i="2"/>
  <c r="V498" i="2"/>
  <c r="W497" i="2"/>
  <c r="V497" i="2"/>
  <c r="W496" i="2"/>
  <c r="V496" i="2"/>
  <c r="W495" i="2"/>
  <c r="V495" i="2"/>
  <c r="W494" i="2"/>
  <c r="V494" i="2"/>
  <c r="W493" i="2"/>
  <c r="V493" i="2"/>
  <c r="W492" i="2"/>
  <c r="V492" i="2"/>
  <c r="W491" i="2"/>
  <c r="V491" i="2"/>
  <c r="W490" i="2"/>
  <c r="V490" i="2"/>
  <c r="W489" i="2"/>
  <c r="V489" i="2"/>
  <c r="W488" i="2"/>
  <c r="V488" i="2"/>
  <c r="W487" i="2"/>
  <c r="V487" i="2"/>
  <c r="W486" i="2"/>
  <c r="V486" i="2"/>
  <c r="W485" i="2"/>
  <c r="V485" i="2"/>
  <c r="W484" i="2"/>
  <c r="V484" i="2"/>
  <c r="W483" i="2"/>
  <c r="V483" i="2"/>
  <c r="W482" i="2"/>
  <c r="V482" i="2"/>
  <c r="W481" i="2"/>
  <c r="V481" i="2"/>
  <c r="W480" i="2"/>
  <c r="V480" i="2"/>
  <c r="W479" i="2"/>
  <c r="V479" i="2"/>
  <c r="W478" i="2"/>
  <c r="V478" i="2"/>
  <c r="W477" i="2"/>
  <c r="V477" i="2"/>
  <c r="W476" i="2"/>
  <c r="V476" i="2"/>
  <c r="W475" i="2"/>
  <c r="V475" i="2"/>
  <c r="W474" i="2"/>
  <c r="V474" i="2"/>
  <c r="W473" i="2"/>
  <c r="V473" i="2"/>
  <c r="W472" i="2"/>
  <c r="V472" i="2"/>
  <c r="W471" i="2"/>
  <c r="V471" i="2"/>
  <c r="W470" i="2"/>
  <c r="V470" i="2"/>
  <c r="W469" i="2"/>
  <c r="V469" i="2"/>
  <c r="W468" i="2"/>
  <c r="V468" i="2"/>
  <c r="W467" i="2"/>
  <c r="V467" i="2"/>
  <c r="W466" i="2"/>
  <c r="V466" i="2"/>
  <c r="W465" i="2"/>
  <c r="V465" i="2"/>
  <c r="W464" i="2"/>
  <c r="V464" i="2"/>
  <c r="W463" i="2"/>
  <c r="V463" i="2"/>
  <c r="W462" i="2"/>
  <c r="V462" i="2"/>
  <c r="W461" i="2"/>
  <c r="V461" i="2"/>
  <c r="W460" i="2"/>
  <c r="V460" i="2"/>
  <c r="W459" i="2"/>
  <c r="V459" i="2"/>
  <c r="W458" i="2"/>
  <c r="V458" i="2"/>
  <c r="W457" i="2"/>
  <c r="V457" i="2"/>
  <c r="W456" i="2"/>
  <c r="V456" i="2"/>
  <c r="W455" i="2"/>
  <c r="V455" i="2"/>
  <c r="W454" i="2"/>
  <c r="V454" i="2"/>
  <c r="W453" i="2"/>
  <c r="V453" i="2"/>
  <c r="W452" i="2"/>
  <c r="V452" i="2"/>
  <c r="W451" i="2"/>
  <c r="V451" i="2"/>
  <c r="W450" i="2"/>
  <c r="V450" i="2"/>
  <c r="W449" i="2"/>
  <c r="V449" i="2"/>
  <c r="W448" i="2"/>
  <c r="V448" i="2"/>
  <c r="W447" i="2"/>
  <c r="V447" i="2"/>
  <c r="W446" i="2"/>
  <c r="V446" i="2"/>
  <c r="W445" i="2"/>
  <c r="V445" i="2"/>
  <c r="W444" i="2"/>
  <c r="V444" i="2"/>
  <c r="W443" i="2"/>
  <c r="V443" i="2"/>
  <c r="W442" i="2"/>
  <c r="V442" i="2"/>
  <c r="W441" i="2"/>
  <c r="V441" i="2"/>
  <c r="W440" i="2"/>
  <c r="V440" i="2"/>
  <c r="W439" i="2"/>
  <c r="V439" i="2"/>
  <c r="W438" i="2"/>
  <c r="V438" i="2"/>
  <c r="W437" i="2"/>
  <c r="V437" i="2"/>
  <c r="W436" i="2"/>
  <c r="V436" i="2"/>
  <c r="W435" i="2"/>
  <c r="V435" i="2"/>
  <c r="W434" i="2"/>
  <c r="V434" i="2"/>
  <c r="W433" i="2"/>
  <c r="V433" i="2"/>
  <c r="W432" i="2"/>
  <c r="V432" i="2"/>
  <c r="W431" i="2"/>
  <c r="V431" i="2"/>
  <c r="W430" i="2"/>
  <c r="V430" i="2"/>
  <c r="W429" i="2"/>
  <c r="V429" i="2"/>
  <c r="W428" i="2"/>
  <c r="V428" i="2"/>
  <c r="W427" i="2"/>
  <c r="V427" i="2"/>
  <c r="W426" i="2"/>
  <c r="V426" i="2"/>
  <c r="W425" i="2"/>
  <c r="V425" i="2"/>
  <c r="W424" i="2"/>
  <c r="V424" i="2"/>
  <c r="W423" i="2"/>
  <c r="V423" i="2"/>
  <c r="W422" i="2"/>
  <c r="V422" i="2"/>
  <c r="W421" i="2"/>
  <c r="V421" i="2"/>
  <c r="W420" i="2"/>
  <c r="V420" i="2"/>
  <c r="W419" i="2"/>
  <c r="V419" i="2"/>
  <c r="W418" i="2"/>
  <c r="V418" i="2"/>
  <c r="W417" i="2"/>
  <c r="V417" i="2"/>
  <c r="W416" i="2"/>
  <c r="V416" i="2"/>
  <c r="W415" i="2"/>
  <c r="V415" i="2"/>
  <c r="W414" i="2"/>
  <c r="V414" i="2"/>
  <c r="W413" i="2"/>
  <c r="V413" i="2"/>
  <c r="W412" i="2"/>
  <c r="V412" i="2"/>
  <c r="W411" i="2"/>
  <c r="V411" i="2"/>
  <c r="W410" i="2"/>
  <c r="V410" i="2"/>
  <c r="W409" i="2"/>
  <c r="V409" i="2"/>
  <c r="W408" i="2"/>
  <c r="V408" i="2"/>
  <c r="W407" i="2"/>
  <c r="V407" i="2"/>
  <c r="W406" i="2"/>
  <c r="V406" i="2"/>
  <c r="W405" i="2"/>
  <c r="V405" i="2"/>
  <c r="W404" i="2"/>
  <c r="V404" i="2"/>
  <c r="W403" i="2"/>
  <c r="V403" i="2"/>
  <c r="W402" i="2"/>
  <c r="V402" i="2"/>
  <c r="W401" i="2"/>
  <c r="V401" i="2"/>
  <c r="W400" i="2"/>
  <c r="V400" i="2"/>
  <c r="W399" i="2"/>
  <c r="V399" i="2"/>
  <c r="W398" i="2"/>
  <c r="V398" i="2"/>
  <c r="W397" i="2"/>
  <c r="V397" i="2"/>
  <c r="W396" i="2"/>
  <c r="V396" i="2"/>
  <c r="W395" i="2"/>
  <c r="V395" i="2"/>
  <c r="W394" i="2"/>
  <c r="V394" i="2"/>
  <c r="W393" i="2"/>
  <c r="V393" i="2"/>
  <c r="W392" i="2"/>
  <c r="V392" i="2"/>
  <c r="W391" i="2"/>
  <c r="V391" i="2"/>
  <c r="W390" i="2"/>
  <c r="V390" i="2"/>
  <c r="W389" i="2"/>
  <c r="V389" i="2"/>
  <c r="W388" i="2"/>
  <c r="V388" i="2"/>
  <c r="W387" i="2"/>
  <c r="V387" i="2"/>
  <c r="W386" i="2"/>
  <c r="V386" i="2"/>
  <c r="W385" i="2"/>
  <c r="V385" i="2"/>
  <c r="W384" i="2"/>
  <c r="V384" i="2"/>
  <c r="W383" i="2"/>
  <c r="V383" i="2"/>
  <c r="W382" i="2"/>
  <c r="V382" i="2"/>
  <c r="W381" i="2"/>
  <c r="V381" i="2"/>
  <c r="W380" i="2"/>
  <c r="V380" i="2"/>
  <c r="W379" i="2"/>
  <c r="V379" i="2"/>
  <c r="W378" i="2"/>
  <c r="V378" i="2"/>
  <c r="W377" i="2"/>
  <c r="V377" i="2"/>
  <c r="W376" i="2"/>
  <c r="V376" i="2"/>
  <c r="W375" i="2"/>
  <c r="V375" i="2"/>
  <c r="W374" i="2"/>
  <c r="V374" i="2"/>
  <c r="W373" i="2"/>
  <c r="V373" i="2"/>
  <c r="W372" i="2"/>
  <c r="V372" i="2"/>
  <c r="W371" i="2"/>
  <c r="V371" i="2"/>
  <c r="W370" i="2"/>
  <c r="V370" i="2"/>
  <c r="W369" i="2"/>
  <c r="V369" i="2"/>
  <c r="W368" i="2"/>
  <c r="V368" i="2"/>
  <c r="W367" i="2"/>
  <c r="V367" i="2"/>
  <c r="W366" i="2"/>
  <c r="V366" i="2"/>
  <c r="W365" i="2"/>
  <c r="V365" i="2"/>
  <c r="W364" i="2"/>
  <c r="V364" i="2"/>
  <c r="W363" i="2"/>
  <c r="V363" i="2"/>
  <c r="W362" i="2"/>
  <c r="V362" i="2"/>
  <c r="W361" i="2"/>
  <c r="V361" i="2"/>
  <c r="W360" i="2"/>
  <c r="V360" i="2"/>
  <c r="W359" i="2"/>
  <c r="V359" i="2"/>
  <c r="W358" i="2"/>
  <c r="V358" i="2"/>
  <c r="W357" i="2"/>
  <c r="V357" i="2"/>
  <c r="W356" i="2"/>
  <c r="V356" i="2"/>
  <c r="W355" i="2"/>
  <c r="V355" i="2"/>
  <c r="W354" i="2"/>
  <c r="V354" i="2"/>
  <c r="W353" i="2"/>
  <c r="V353" i="2"/>
  <c r="W352" i="2"/>
  <c r="V352" i="2"/>
  <c r="W351" i="2"/>
  <c r="V351" i="2"/>
  <c r="W350" i="2"/>
  <c r="V350" i="2"/>
  <c r="W349" i="2"/>
  <c r="V349" i="2"/>
  <c r="W348" i="2"/>
  <c r="V348" i="2"/>
  <c r="W347" i="2"/>
  <c r="V347" i="2"/>
  <c r="W346" i="2"/>
  <c r="V346" i="2"/>
  <c r="W345" i="2"/>
  <c r="V345" i="2"/>
  <c r="W344" i="2"/>
  <c r="V344" i="2"/>
  <c r="W343" i="2"/>
  <c r="V343" i="2"/>
  <c r="W342" i="2"/>
  <c r="V342" i="2"/>
  <c r="W341" i="2"/>
  <c r="V341" i="2"/>
  <c r="W340" i="2"/>
  <c r="V340" i="2"/>
  <c r="W339" i="2"/>
  <c r="V339" i="2"/>
  <c r="W338" i="2"/>
  <c r="V338" i="2"/>
  <c r="W337" i="2"/>
  <c r="V337" i="2"/>
  <c r="W336" i="2"/>
  <c r="V336" i="2"/>
  <c r="W335" i="2"/>
  <c r="V335" i="2"/>
  <c r="W334" i="2"/>
  <c r="V334" i="2"/>
  <c r="W333" i="2"/>
  <c r="V333" i="2"/>
  <c r="W332" i="2"/>
  <c r="V332" i="2"/>
  <c r="W331" i="2"/>
  <c r="V331" i="2"/>
  <c r="W330" i="2"/>
  <c r="V330" i="2"/>
  <c r="W329" i="2"/>
  <c r="V329" i="2"/>
  <c r="W328" i="2"/>
  <c r="V328" i="2"/>
  <c r="W327" i="2"/>
  <c r="V327" i="2"/>
  <c r="W326" i="2"/>
  <c r="V326" i="2"/>
  <c r="W325" i="2"/>
  <c r="V325" i="2"/>
  <c r="W324" i="2"/>
  <c r="V324" i="2"/>
  <c r="W323" i="2"/>
  <c r="V323" i="2"/>
  <c r="W322" i="2"/>
  <c r="V322" i="2"/>
  <c r="W321" i="2"/>
  <c r="V321" i="2"/>
  <c r="W320" i="2"/>
  <c r="V320" i="2"/>
  <c r="W319" i="2"/>
  <c r="V319" i="2"/>
  <c r="W318" i="2"/>
  <c r="V318" i="2"/>
  <c r="W317" i="2"/>
  <c r="V317" i="2"/>
  <c r="W316" i="2"/>
  <c r="V316" i="2"/>
  <c r="W315" i="2"/>
  <c r="V315" i="2"/>
  <c r="W314" i="2"/>
  <c r="V314" i="2"/>
  <c r="W313" i="2"/>
  <c r="V313" i="2"/>
  <c r="W312" i="2"/>
  <c r="V312" i="2"/>
  <c r="W311" i="2"/>
  <c r="V311" i="2"/>
  <c r="W310" i="2"/>
  <c r="V310" i="2"/>
  <c r="W309" i="2"/>
  <c r="V309" i="2"/>
  <c r="W308" i="2"/>
  <c r="V308" i="2"/>
  <c r="W307" i="2"/>
  <c r="V307" i="2"/>
  <c r="W306" i="2"/>
  <c r="V306" i="2"/>
  <c r="W305" i="2"/>
  <c r="V305" i="2"/>
  <c r="W304" i="2"/>
  <c r="V304" i="2"/>
  <c r="W303" i="2"/>
  <c r="V303" i="2"/>
  <c r="W302" i="2"/>
  <c r="V302" i="2"/>
  <c r="W301" i="2"/>
  <c r="V301" i="2"/>
  <c r="W300" i="2"/>
  <c r="V300" i="2"/>
  <c r="W299" i="2"/>
  <c r="V299" i="2"/>
  <c r="W298" i="2"/>
  <c r="V298" i="2"/>
  <c r="W297" i="2"/>
  <c r="V297" i="2"/>
  <c r="W296" i="2"/>
  <c r="V296" i="2"/>
  <c r="W295" i="2"/>
  <c r="V295" i="2"/>
  <c r="W294" i="2"/>
  <c r="V294" i="2"/>
  <c r="W293" i="2"/>
  <c r="V293" i="2"/>
  <c r="W292" i="2"/>
  <c r="V292" i="2"/>
  <c r="W291" i="2"/>
  <c r="V291" i="2"/>
  <c r="W290" i="2"/>
  <c r="V290" i="2"/>
  <c r="W289" i="2"/>
  <c r="V289" i="2"/>
  <c r="W288" i="2"/>
  <c r="V288" i="2"/>
  <c r="W287" i="2"/>
  <c r="V287" i="2"/>
  <c r="W286" i="2"/>
  <c r="V286" i="2"/>
  <c r="W285" i="2"/>
  <c r="V285" i="2"/>
  <c r="W284" i="2"/>
  <c r="V284" i="2"/>
  <c r="W283" i="2"/>
  <c r="V283" i="2"/>
  <c r="W282" i="2"/>
  <c r="V282" i="2"/>
  <c r="W281" i="2"/>
  <c r="V281" i="2"/>
  <c r="W280" i="2"/>
  <c r="V280" i="2"/>
  <c r="W279" i="2"/>
  <c r="V279" i="2"/>
  <c r="W278" i="2"/>
  <c r="V278" i="2"/>
  <c r="W277" i="2"/>
  <c r="V277" i="2"/>
  <c r="W276" i="2"/>
  <c r="V276" i="2"/>
  <c r="W275" i="2"/>
  <c r="V275" i="2"/>
  <c r="W274" i="2"/>
  <c r="V274" i="2"/>
  <c r="W273" i="2"/>
  <c r="V273" i="2"/>
  <c r="W272" i="2"/>
  <c r="V272" i="2"/>
  <c r="W271" i="2"/>
  <c r="V271" i="2"/>
  <c r="W270" i="2"/>
  <c r="V270" i="2"/>
  <c r="W269" i="2"/>
  <c r="V269" i="2"/>
  <c r="W268" i="2"/>
  <c r="V268" i="2"/>
  <c r="W267" i="2"/>
  <c r="V267" i="2"/>
  <c r="W266" i="2"/>
  <c r="V266" i="2"/>
  <c r="W265" i="2"/>
  <c r="V265" i="2"/>
  <c r="W264" i="2"/>
  <c r="V264" i="2"/>
  <c r="W263" i="2"/>
  <c r="V263" i="2"/>
  <c r="W262" i="2"/>
  <c r="V262" i="2"/>
  <c r="W261" i="2"/>
  <c r="V261" i="2"/>
  <c r="W260" i="2"/>
  <c r="V260" i="2"/>
  <c r="W259" i="2"/>
  <c r="V259" i="2"/>
  <c r="W258" i="2"/>
  <c r="V258" i="2"/>
  <c r="W257" i="2"/>
  <c r="V257" i="2"/>
  <c r="W256" i="2"/>
  <c r="V256" i="2"/>
  <c r="W255" i="2"/>
  <c r="V255" i="2"/>
  <c r="W254" i="2"/>
  <c r="V254" i="2"/>
  <c r="W253" i="2"/>
  <c r="V253" i="2"/>
  <c r="W252" i="2"/>
  <c r="V252" i="2"/>
  <c r="W251" i="2"/>
  <c r="V251" i="2"/>
  <c r="W250" i="2"/>
  <c r="V250" i="2"/>
  <c r="W249" i="2"/>
  <c r="V249" i="2"/>
  <c r="W248" i="2"/>
  <c r="V248" i="2"/>
  <c r="W247" i="2"/>
  <c r="V247" i="2"/>
  <c r="W246" i="2"/>
  <c r="V246" i="2"/>
  <c r="W245" i="2"/>
  <c r="V245" i="2"/>
  <c r="W244" i="2"/>
  <c r="V244" i="2"/>
  <c r="W243" i="2"/>
  <c r="V243" i="2"/>
  <c r="W242" i="2"/>
  <c r="V242" i="2"/>
  <c r="W241" i="2"/>
  <c r="V241" i="2"/>
  <c r="W240" i="2"/>
  <c r="V240" i="2"/>
  <c r="W239" i="2"/>
  <c r="V239" i="2"/>
  <c r="W238" i="2"/>
  <c r="V238" i="2"/>
  <c r="W237" i="2"/>
  <c r="V237" i="2"/>
  <c r="W236" i="2"/>
  <c r="V236" i="2"/>
  <c r="W235" i="2"/>
  <c r="V235" i="2"/>
  <c r="W234" i="2"/>
  <c r="V234" i="2"/>
  <c r="W233" i="2"/>
  <c r="V233" i="2"/>
  <c r="W232" i="2"/>
  <c r="V232" i="2"/>
  <c r="W231" i="2"/>
  <c r="V231" i="2"/>
  <c r="W230" i="2"/>
  <c r="V230" i="2"/>
  <c r="W229" i="2"/>
  <c r="V229" i="2"/>
  <c r="W228" i="2"/>
  <c r="V228" i="2"/>
  <c r="W227" i="2"/>
  <c r="V227" i="2"/>
  <c r="W226" i="2"/>
  <c r="V226" i="2"/>
  <c r="W225" i="2"/>
  <c r="V225" i="2"/>
  <c r="W224" i="2"/>
  <c r="V224" i="2"/>
  <c r="W223" i="2"/>
  <c r="V223" i="2"/>
  <c r="W222" i="2"/>
  <c r="V222" i="2"/>
  <c r="W221" i="2"/>
  <c r="V221" i="2"/>
  <c r="W220" i="2"/>
  <c r="V220" i="2"/>
  <c r="W219" i="2"/>
  <c r="V219" i="2"/>
  <c r="W218" i="2"/>
  <c r="V218" i="2"/>
  <c r="W217" i="2"/>
  <c r="V217" i="2"/>
  <c r="W216" i="2"/>
  <c r="V216" i="2"/>
  <c r="W215" i="2"/>
  <c r="V215" i="2"/>
  <c r="W214" i="2"/>
  <c r="V214" i="2"/>
  <c r="W213" i="2"/>
  <c r="V213" i="2"/>
  <c r="W212" i="2"/>
  <c r="V212" i="2"/>
  <c r="W211" i="2"/>
  <c r="V211" i="2"/>
  <c r="W210" i="2"/>
  <c r="V210" i="2"/>
  <c r="W209" i="2"/>
  <c r="V209" i="2"/>
  <c r="W208" i="2"/>
  <c r="V208" i="2"/>
  <c r="W207" i="2"/>
  <c r="V207" i="2"/>
  <c r="W206" i="2"/>
  <c r="V206" i="2"/>
  <c r="W205" i="2"/>
  <c r="V205" i="2"/>
  <c r="W204" i="2"/>
  <c r="V204" i="2"/>
  <c r="W203" i="2"/>
  <c r="V203" i="2"/>
  <c r="W202" i="2"/>
  <c r="V202" i="2"/>
  <c r="W201" i="2"/>
  <c r="V201" i="2"/>
  <c r="W200" i="2"/>
  <c r="V200" i="2"/>
  <c r="W199" i="2"/>
  <c r="V199" i="2"/>
  <c r="W198" i="2"/>
  <c r="V198" i="2"/>
  <c r="W197" i="2"/>
  <c r="V197" i="2"/>
  <c r="W196" i="2"/>
  <c r="V196" i="2"/>
  <c r="W195" i="2"/>
  <c r="V195" i="2"/>
  <c r="W194" i="2"/>
  <c r="V194" i="2"/>
  <c r="W193" i="2"/>
  <c r="V193" i="2"/>
  <c r="W192" i="2"/>
  <c r="V192" i="2"/>
  <c r="W191" i="2"/>
  <c r="V191" i="2"/>
  <c r="W190" i="2"/>
  <c r="V190" i="2"/>
  <c r="W189" i="2"/>
  <c r="V189" i="2"/>
  <c r="W188" i="2"/>
  <c r="V188" i="2"/>
  <c r="W187" i="2"/>
  <c r="V187" i="2"/>
  <c r="W186" i="2"/>
  <c r="V186" i="2"/>
  <c r="W185" i="2"/>
  <c r="V185" i="2"/>
  <c r="W184" i="2"/>
  <c r="V184" i="2"/>
  <c r="W183" i="2"/>
  <c r="V183" i="2"/>
  <c r="W182" i="2"/>
  <c r="V182" i="2"/>
  <c r="W181" i="2"/>
  <c r="V181" i="2"/>
  <c r="W180" i="2"/>
  <c r="V180" i="2"/>
  <c r="W179" i="2"/>
  <c r="V179" i="2"/>
  <c r="W178" i="2"/>
  <c r="V178" i="2"/>
  <c r="W177" i="2"/>
  <c r="V177" i="2"/>
  <c r="W176" i="2"/>
  <c r="V176" i="2"/>
  <c r="W175" i="2"/>
  <c r="V175" i="2"/>
  <c r="W174" i="2"/>
  <c r="V174" i="2"/>
  <c r="W173" i="2"/>
  <c r="V173" i="2"/>
  <c r="W172" i="2"/>
  <c r="V172" i="2"/>
  <c r="W171" i="2"/>
  <c r="V171" i="2"/>
  <c r="W170" i="2"/>
  <c r="V170" i="2"/>
  <c r="W169" i="2"/>
  <c r="V169" i="2"/>
  <c r="W168" i="2"/>
  <c r="V168" i="2"/>
  <c r="W167" i="2"/>
  <c r="V167" i="2"/>
  <c r="W166" i="2"/>
  <c r="V166" i="2"/>
  <c r="W165" i="2"/>
  <c r="V165" i="2"/>
  <c r="W164" i="2"/>
  <c r="V164" i="2"/>
  <c r="W163" i="2"/>
  <c r="V163" i="2"/>
  <c r="W162" i="2"/>
  <c r="V162" i="2"/>
  <c r="W161" i="2"/>
  <c r="V161" i="2"/>
  <c r="W160" i="2"/>
  <c r="V160" i="2"/>
  <c r="W159" i="2"/>
  <c r="V159" i="2"/>
  <c r="W158" i="2"/>
  <c r="V158" i="2"/>
  <c r="W157" i="2"/>
  <c r="V157" i="2"/>
  <c r="W156" i="2"/>
  <c r="V156" i="2"/>
  <c r="W155" i="2"/>
  <c r="V155" i="2"/>
  <c r="W154" i="2"/>
  <c r="V154" i="2"/>
  <c r="W153" i="2"/>
  <c r="V153" i="2"/>
  <c r="W152" i="2"/>
  <c r="V152" i="2"/>
  <c r="W151" i="2"/>
  <c r="V151" i="2"/>
  <c r="W150" i="2"/>
  <c r="V150" i="2"/>
  <c r="W149" i="2"/>
  <c r="V149" i="2"/>
  <c r="W148" i="2"/>
  <c r="V148" i="2"/>
  <c r="W147" i="2"/>
  <c r="V147" i="2"/>
  <c r="W146" i="2"/>
  <c r="V146" i="2"/>
  <c r="W145" i="2"/>
  <c r="V145" i="2"/>
  <c r="W144" i="2"/>
  <c r="V144" i="2"/>
  <c r="W143" i="2"/>
  <c r="V143" i="2"/>
  <c r="W142" i="2"/>
  <c r="V142" i="2"/>
  <c r="W141" i="2"/>
  <c r="V141" i="2"/>
  <c r="W140" i="2"/>
  <c r="V140" i="2"/>
  <c r="W139" i="2"/>
  <c r="V139" i="2"/>
  <c r="W138" i="2"/>
  <c r="V138" i="2"/>
  <c r="W137" i="2"/>
  <c r="V137" i="2"/>
  <c r="W136" i="2"/>
  <c r="V136" i="2"/>
  <c r="W135" i="2"/>
  <c r="V135" i="2"/>
  <c r="W134" i="2"/>
  <c r="V134" i="2"/>
  <c r="W133" i="2"/>
  <c r="V133" i="2"/>
  <c r="W132" i="2"/>
  <c r="V132" i="2"/>
  <c r="W131" i="2"/>
  <c r="V131" i="2"/>
  <c r="W130" i="2"/>
  <c r="V130" i="2"/>
  <c r="W129" i="2"/>
  <c r="V129" i="2"/>
  <c r="W128" i="2"/>
  <c r="V128" i="2"/>
  <c r="W127" i="2"/>
  <c r="V127" i="2"/>
  <c r="W126" i="2"/>
  <c r="V126" i="2"/>
  <c r="W125" i="2"/>
  <c r="V125" i="2"/>
  <c r="W124" i="2"/>
  <c r="V124" i="2"/>
  <c r="W123" i="2"/>
  <c r="V123" i="2"/>
  <c r="W122" i="2"/>
  <c r="V122" i="2"/>
  <c r="W121" i="2"/>
  <c r="V121" i="2"/>
  <c r="W120" i="2"/>
  <c r="V120" i="2"/>
  <c r="W119" i="2"/>
  <c r="V119" i="2"/>
  <c r="W118" i="2"/>
  <c r="V118" i="2"/>
  <c r="W117" i="2"/>
  <c r="V117" i="2"/>
  <c r="W116" i="2"/>
  <c r="V116" i="2"/>
  <c r="W115" i="2"/>
  <c r="V115" i="2"/>
  <c r="W114" i="2"/>
  <c r="V114" i="2"/>
  <c r="W113" i="2"/>
  <c r="V113" i="2"/>
  <c r="W112" i="2"/>
  <c r="V112" i="2"/>
  <c r="W111" i="2"/>
  <c r="V111" i="2"/>
  <c r="W110" i="2"/>
  <c r="V110" i="2"/>
  <c r="W109" i="2"/>
  <c r="V109" i="2"/>
  <c r="W108" i="2"/>
  <c r="V108" i="2"/>
  <c r="W107" i="2"/>
  <c r="V107" i="2"/>
  <c r="W106" i="2"/>
  <c r="V106" i="2"/>
  <c r="W105" i="2"/>
  <c r="V105" i="2"/>
  <c r="W104" i="2"/>
  <c r="V104" i="2"/>
  <c r="W103" i="2"/>
  <c r="V103" i="2"/>
  <c r="W102" i="2"/>
  <c r="V102" i="2"/>
  <c r="W101" i="2"/>
  <c r="V101" i="2"/>
  <c r="W100" i="2"/>
  <c r="V100" i="2"/>
  <c r="W99" i="2"/>
  <c r="V99" i="2"/>
  <c r="W98" i="2"/>
  <c r="V98" i="2"/>
  <c r="W97" i="2"/>
  <c r="V97" i="2"/>
  <c r="W96" i="2"/>
  <c r="V96" i="2"/>
  <c r="W95" i="2"/>
  <c r="V95" i="2"/>
  <c r="W94" i="2"/>
  <c r="V94" i="2"/>
  <c r="W93" i="2"/>
  <c r="V93" i="2"/>
  <c r="W92" i="2"/>
  <c r="V92" i="2"/>
  <c r="W91" i="2"/>
  <c r="V91" i="2"/>
  <c r="W90" i="2"/>
  <c r="V90" i="2"/>
  <c r="W89" i="2"/>
  <c r="V89" i="2"/>
  <c r="W88" i="2"/>
  <c r="V88" i="2"/>
  <c r="W87" i="2"/>
  <c r="V87" i="2"/>
  <c r="W86" i="2"/>
  <c r="V86" i="2"/>
  <c r="W85" i="2"/>
  <c r="V85" i="2"/>
  <c r="W84" i="2"/>
  <c r="V84" i="2"/>
  <c r="W83" i="2"/>
  <c r="V83" i="2"/>
  <c r="W82" i="2"/>
  <c r="V82" i="2"/>
  <c r="W81" i="2"/>
  <c r="V81" i="2"/>
  <c r="W80" i="2"/>
  <c r="V80" i="2"/>
  <c r="W79" i="2"/>
  <c r="V79" i="2"/>
  <c r="W78" i="2"/>
  <c r="V78" i="2"/>
  <c r="W77" i="2"/>
  <c r="V77" i="2"/>
  <c r="W76" i="2"/>
  <c r="V76" i="2"/>
  <c r="W75" i="2"/>
  <c r="V75" i="2"/>
  <c r="W74" i="2"/>
  <c r="V74" i="2"/>
  <c r="W73" i="2"/>
  <c r="V73" i="2"/>
  <c r="W72" i="2"/>
  <c r="V72" i="2"/>
  <c r="W71" i="2"/>
  <c r="V71" i="2"/>
  <c r="W70" i="2"/>
  <c r="V70" i="2"/>
  <c r="W69" i="2"/>
  <c r="V69" i="2"/>
  <c r="W68" i="2"/>
  <c r="V68" i="2"/>
  <c r="W67" i="2"/>
  <c r="V67" i="2"/>
  <c r="W66" i="2"/>
  <c r="V66" i="2"/>
  <c r="W65" i="2"/>
  <c r="V65" i="2"/>
  <c r="W64" i="2"/>
  <c r="V64" i="2"/>
  <c r="W63" i="2"/>
  <c r="V63" i="2"/>
  <c r="W62" i="2"/>
  <c r="V62" i="2"/>
  <c r="W61" i="2"/>
  <c r="V61" i="2"/>
  <c r="W60" i="2"/>
  <c r="V60" i="2"/>
  <c r="W59" i="2"/>
  <c r="V59" i="2"/>
  <c r="W58" i="2"/>
  <c r="V58" i="2"/>
  <c r="W57" i="2"/>
  <c r="V57" i="2"/>
  <c r="W56" i="2"/>
  <c r="V56" i="2"/>
  <c r="W55" i="2"/>
  <c r="V55" i="2"/>
  <c r="W54" i="2"/>
  <c r="V54" i="2"/>
  <c r="W53" i="2"/>
  <c r="V53" i="2"/>
  <c r="W52" i="2"/>
  <c r="V52" i="2"/>
  <c r="W51" i="2"/>
  <c r="V51" i="2"/>
  <c r="W50" i="2"/>
  <c r="V50" i="2"/>
  <c r="W49" i="2"/>
  <c r="V49" i="2"/>
  <c r="W48" i="2"/>
  <c r="V48" i="2"/>
  <c r="W47" i="2"/>
  <c r="V47" i="2"/>
  <c r="W46" i="2"/>
  <c r="V46" i="2"/>
  <c r="W45" i="2"/>
  <c r="V45" i="2"/>
  <c r="W44" i="2"/>
  <c r="V44" i="2"/>
  <c r="W43" i="2"/>
  <c r="V43" i="2"/>
  <c r="W42" i="2"/>
  <c r="V42" i="2"/>
  <c r="W41" i="2"/>
  <c r="V41" i="2"/>
  <c r="W40" i="2"/>
  <c r="V40" i="2"/>
  <c r="W39" i="2"/>
  <c r="V39" i="2"/>
  <c r="W38" i="2"/>
  <c r="V38" i="2"/>
  <c r="W37" i="2"/>
  <c r="V37" i="2"/>
  <c r="W36" i="2"/>
  <c r="V36" i="2"/>
  <c r="W35" i="2"/>
  <c r="V35" i="2"/>
  <c r="W34" i="2"/>
  <c r="V34" i="2"/>
  <c r="W33" i="2"/>
  <c r="V33" i="2"/>
  <c r="W32" i="2"/>
  <c r="V32" i="2"/>
  <c r="W31" i="2"/>
  <c r="V31" i="2"/>
  <c r="W30" i="2"/>
  <c r="V30" i="2"/>
  <c r="W29" i="2"/>
  <c r="V29" i="2"/>
  <c r="W28" i="2"/>
  <c r="V28" i="2"/>
  <c r="W27" i="2"/>
  <c r="V27" i="2"/>
  <c r="W26" i="2"/>
  <c r="V26" i="2"/>
  <c r="W25" i="2"/>
  <c r="V25" i="2"/>
  <c r="W24" i="2"/>
  <c r="V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V14" i="2"/>
  <c r="W13" i="2"/>
  <c r="V13" i="2"/>
  <c r="W12" i="2"/>
  <c r="V12" i="2"/>
  <c r="W11" i="2"/>
  <c r="V11" i="2"/>
  <c r="W10" i="2"/>
  <c r="V10" i="2"/>
  <c r="W9" i="2"/>
  <c r="V9" i="2"/>
  <c r="W8" i="2"/>
  <c r="V8" i="2"/>
  <c r="W7" i="2"/>
  <c r="V7" i="2"/>
  <c r="M57" i="1"/>
  <c r="M56" i="1"/>
  <c r="E53" i="1"/>
  <c r="E50" i="1"/>
  <c r="E47" i="1"/>
  <c r="E44" i="1"/>
  <c r="E52" i="1" s="1"/>
  <c r="E54" i="1" s="1"/>
  <c r="M54" i="1" s="1"/>
  <c r="M43" i="1"/>
  <c r="A41" i="1"/>
  <c r="M31" i="1"/>
  <c r="E30" i="1"/>
  <c r="E29" i="1"/>
  <c r="M28" i="1"/>
  <c r="E28" i="1"/>
  <c r="M27" i="1"/>
  <c r="E27" i="1"/>
  <c r="M26" i="1"/>
  <c r="E26" i="1"/>
  <c r="E31" i="1" s="1"/>
  <c r="A23" i="1"/>
  <c r="E16" i="1"/>
  <c r="E15" i="1"/>
  <c r="E14" i="1"/>
  <c r="E17" i="1" s="1"/>
  <c r="E13" i="1"/>
  <c r="M11" i="1"/>
  <c r="E10" i="1"/>
  <c r="M9" i="1"/>
  <c r="E9" i="1"/>
  <c r="E11" i="1" s="1"/>
  <c r="H6" i="1"/>
  <c r="A6" i="1"/>
  <c r="A3" i="1"/>
  <c r="A2" i="1"/>
  <c r="E18" i="1" l="1"/>
  <c r="M44" i="1"/>
  <c r="M45" i="1" s="1"/>
  <c r="M46" i="1" s="1"/>
  <c r="M10" i="1" l="1"/>
  <c r="M13" i="1" s="1"/>
  <c r="M42" i="1"/>
  <c r="M52" i="1"/>
  <c r="M32" i="1" l="1"/>
  <c r="M33" i="1" s="1"/>
  <c r="M35" i="1" s="1"/>
  <c r="M55" i="1" s="1"/>
  <c r="M53" i="1" l="1"/>
  <c r="M58" i="1" s="1"/>
</calcChain>
</file>

<file path=xl/sharedStrings.xml><?xml version="1.0" encoding="utf-8"?>
<sst xmlns="http://schemas.openxmlformats.org/spreadsheetml/2006/main" count="110" uniqueCount="102">
  <si>
    <t>FINANCIAL STATEMENTS</t>
  </si>
  <si>
    <t>Income Statement</t>
  </si>
  <si>
    <t>Statement of Retained Earnings</t>
  </si>
  <si>
    <t>Revenues</t>
  </si>
  <si>
    <t>Service revenue</t>
  </si>
  <si>
    <t>Beginning retained earnings</t>
  </si>
  <si>
    <t>Other revenue</t>
  </si>
  <si>
    <t>Add: Net income</t>
  </si>
  <si>
    <t>Total revenues</t>
  </si>
  <si>
    <t>Less: Dividends</t>
  </si>
  <si>
    <t>Expenses</t>
  </si>
  <si>
    <t>Rent expense</t>
  </si>
  <si>
    <t>Ending retained earnings</t>
  </si>
  <si>
    <t>Salaries expense</t>
  </si>
  <si>
    <t>Utilities expense</t>
  </si>
  <si>
    <t>Other expense</t>
  </si>
  <si>
    <t>Total expenses</t>
  </si>
  <si>
    <t>Net income</t>
  </si>
  <si>
    <t>Balance Sheet</t>
  </si>
  <si>
    <t>Assets</t>
  </si>
  <si>
    <t>Liabilities</t>
  </si>
  <si>
    <t>Cash</t>
  </si>
  <si>
    <t>Accounts payable</t>
  </si>
  <si>
    <t>Accounts receivable</t>
  </si>
  <si>
    <t>Notes payable</t>
  </si>
  <si>
    <t>Supplies</t>
  </si>
  <si>
    <t>Total liabilities</t>
  </si>
  <si>
    <t>Prepaid expenses</t>
  </si>
  <si>
    <t>Equipment</t>
  </si>
  <si>
    <t>Equity</t>
  </si>
  <si>
    <t>Total assets</t>
  </si>
  <si>
    <t>Common stock</t>
  </si>
  <si>
    <t>Retained earnings</t>
  </si>
  <si>
    <t>Total equity</t>
  </si>
  <si>
    <t>Total liabilities and equity</t>
  </si>
  <si>
    <t>Statement of Cash Flows</t>
  </si>
  <si>
    <t>Return on Assets</t>
  </si>
  <si>
    <t>Cash flows from operating activities</t>
  </si>
  <si>
    <t>Beginning total assets</t>
  </si>
  <si>
    <t>Net cash provided by operating activities</t>
  </si>
  <si>
    <t>Ending total assets</t>
  </si>
  <si>
    <t>Average total assets</t>
  </si>
  <si>
    <t>Cash flows from investing activities</t>
  </si>
  <si>
    <t>Return on assets</t>
  </si>
  <si>
    <t>Net cash provided by investing activities</t>
  </si>
  <si>
    <t>Cash flows from financing activities</t>
  </si>
  <si>
    <t>Net cash provided by financing activities</t>
  </si>
  <si>
    <t>Reconciliation Checks</t>
  </si>
  <si>
    <t>Net increase (decrease) in cash</t>
  </si>
  <si>
    <t>Net income tie</t>
  </si>
  <si>
    <t>Beginning cash balance</t>
  </si>
  <si>
    <t>Ending retained earnings tie</t>
  </si>
  <si>
    <t>Ending cash balance</t>
  </si>
  <si>
    <t>Ending cash tie</t>
  </si>
  <si>
    <t>Noncash investing and financing activities</t>
  </si>
  <si>
    <t>Balance sheet equation</t>
  </si>
  <si>
    <t>See the Noncash Disclosure column on Transaction Analysis for entered disclosures.</t>
  </si>
  <si>
    <t>Transaction equation errors</t>
  </si>
  <si>
    <t>Cash classification errors</t>
  </si>
  <si>
    <t>Overall status</t>
  </si>
  <si>
    <t>EXPANDED ACCOUNTING EQUATION / TRANSACTION ANALYSIS</t>
  </si>
  <si>
    <t>Company name</t>
  </si>
  <si>
    <t>Company Name</t>
  </si>
  <si>
    <t>Beginning cash</t>
  </si>
  <si>
    <t>Entry rules</t>
  </si>
  <si>
    <t>Period end</t>
  </si>
  <si>
    <t>Beginning assets</t>
  </si>
  <si>
    <t>Positive = increase</t>
  </si>
  <si>
    <t>Cash paid = negative</t>
  </si>
  <si>
    <t>Dividends/expenses = positive</t>
  </si>
  <si>
    <t>Classify cash in one CFO/CFI/CFF column</t>
  </si>
  <si>
    <t>Disclose noncash items</t>
  </si>
  <si>
    <t>Currency</t>
  </si>
  <si>
    <t>USD</t>
  </si>
  <si>
    <t>Enter one transaction per row.</t>
  </si>
  <si>
    <t>Each row must balance.</t>
  </si>
  <si>
    <t>Checks should equal zero.</t>
  </si>
  <si>
    <t>Unused rows may stay blank.</t>
  </si>
  <si>
    <t>Transaction</t>
  </si>
  <si>
    <t>Cash Flow Classification</t>
  </si>
  <si>
    <t>Disclosure</t>
  </si>
  <si>
    <t>Row Checks</t>
  </si>
  <si>
    <t>Date</t>
  </si>
  <si>
    <t>Description</t>
  </si>
  <si>
    <t>Accounts Receivable</t>
  </si>
  <si>
    <t>Prepaid Expenses</t>
  </si>
  <si>
    <t>Accounts Payable</t>
  </si>
  <si>
    <t>Notes Payable</t>
  </si>
  <si>
    <t>Common Stock</t>
  </si>
  <si>
    <t>Dividends</t>
  </si>
  <si>
    <t>Service Revenue</t>
  </si>
  <si>
    <t>Other Revenue</t>
  </si>
  <si>
    <t>Rent Expense</t>
  </si>
  <si>
    <t>Salaries Expense</t>
  </si>
  <si>
    <t>Utilities Expense</t>
  </si>
  <si>
    <t>Other Expense</t>
  </si>
  <si>
    <t>Operating Cash Flow</t>
  </si>
  <si>
    <t>Investing Cash Flow</t>
  </si>
  <si>
    <t>Financing Cash Flow</t>
  </si>
  <si>
    <t>Noncash Disclosure</t>
  </si>
  <si>
    <t>Equation Check</t>
  </si>
  <si>
    <t>Cash Classification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</si>
</sst>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mmm\ d\,\ yyyy"/>
    <numFmt numFmtId="177" formatCode="\$#,##0;\(\$#,##0\);\-"/>
    <numFmt numFmtId="178" formatCode="mm/dd/yy"/>
    <numFmt numFmtId="179" formatCode="#,##0;\(#,##0\);\-"/>
    <numFmt numFmtId="180" formatCode="0.0%"/>
  </numFmts>
  <fonts count="17">
    <font>
      <sz val="11"/>
      <name val="Carlito"/>
    </font>
    <font>
      <sz val="10"/>
      <color rgb="FF1F1F1F"/>
      <name val="Arial"/>
      <family val="2"/>
    </font>
    <font>
      <b/>
      <sz val="14"/>
      <color rgb="FFFFFFFF"/>
      <name val="Arial"/>
      <family val="2"/>
    </font>
    <font>
      <b/>
      <sz val="10"/>
      <color rgb="FF1F1F1F"/>
      <name val="Arial"/>
      <family val="2"/>
    </font>
    <font>
      <b/>
      <sz val="10"/>
      <color rgb="FF1F4E78"/>
      <name val="Arial"/>
      <family val="2"/>
    </font>
    <font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2"/>
      <color rgb="FF1F4E78"/>
      <name val="Arial"/>
      <family val="2"/>
    </font>
    <font>
      <i/>
      <sz val="10"/>
      <color rgb="FF555555"/>
      <name val="Arial"/>
      <family val="2"/>
    </font>
    <font>
      <b/>
      <sz val="11"/>
      <color rgb="FF1F1F1F"/>
      <name val="Arial"/>
      <family val="2"/>
    </font>
    <font>
      <i/>
      <sz val="10"/>
      <color rgb="FF1F1F1F"/>
      <name val="Arial"/>
      <family val="2"/>
    </font>
    <font>
      <b/>
      <i/>
      <sz val="10"/>
      <color rgb="FF1F1F1F"/>
      <name val="Arial"/>
      <family val="2"/>
    </font>
    <font>
      <sz val="11"/>
      <name val="Carlito"/>
    </font>
    <font>
      <sz val="9"/>
      <name val="FangSong"/>
      <family val="3"/>
      <charset val="134"/>
    </font>
    <font>
      <sz val="14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5F1E8"/>
      </patternFill>
    </fill>
    <fill>
      <patternFill patternType="solid">
        <fgColor rgb="FF79A9DC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6B7280"/>
      </left>
      <right/>
      <top style="thin">
        <color rgb="FF6B7280"/>
      </top>
      <bottom style="thin">
        <color rgb="FF6B7280"/>
      </bottom>
      <diagonal/>
    </border>
    <border>
      <left/>
      <right/>
      <top style="thin">
        <color rgb="FF6B7280"/>
      </top>
      <bottom style="thin">
        <color rgb="FF6B7280"/>
      </bottom>
      <diagonal/>
    </border>
    <border>
      <left/>
      <right style="thin">
        <color rgb="FF6B7280"/>
      </right>
      <top style="thin">
        <color rgb="FF6B7280"/>
      </top>
      <bottom style="thin">
        <color rgb="FF6B7280"/>
      </bottom>
      <diagonal/>
    </border>
    <border>
      <left/>
      <right/>
      <top/>
      <bottom style="thin">
        <color rgb="FF404040"/>
      </bottom>
      <diagonal/>
    </border>
    <border>
      <left/>
      <right/>
      <top/>
      <bottom style="double">
        <color rgb="FF404040"/>
      </bottom>
      <diagonal/>
    </border>
  </borders>
  <cellStyleXfs count="2">
    <xf numFmtId="0" fontId="0" fillId="0" borderId="0"/>
    <xf numFmtId="0" fontId="14" fillId="0" borderId="0"/>
  </cellStyleXfs>
  <cellXfs count="43">
    <xf numFmtId="0" fontId="0" fillId="0" borderId="0" xfId="0"/>
    <xf numFmtId="0" fontId="1" fillId="0" borderId="0" xfId="1" applyFont="1"/>
    <xf numFmtId="0" fontId="1" fillId="2" borderId="0" xfId="1" applyFont="1" applyFill="1"/>
    <xf numFmtId="0" fontId="2" fillId="2" borderId="0" xfId="1" applyFont="1" applyFill="1"/>
    <xf numFmtId="0" fontId="3" fillId="0" borderId="0" xfId="1" applyFont="1"/>
    <xf numFmtId="0" fontId="1" fillId="3" borderId="0" xfId="1" applyFont="1" applyFill="1"/>
    <xf numFmtId="176" fontId="1" fillId="3" borderId="0" xfId="1" applyNumberFormat="1" applyFont="1" applyFill="1"/>
    <xf numFmtId="177" fontId="1" fillId="3" borderId="0" xfId="1" applyNumberFormat="1" applyFont="1" applyFill="1"/>
    <xf numFmtId="0" fontId="1" fillId="4" borderId="0" xfId="1" applyFont="1" applyFill="1"/>
    <xf numFmtId="0" fontId="4" fillId="4" borderId="0" xfId="1" applyFont="1" applyFill="1"/>
    <xf numFmtId="0" fontId="5" fillId="4" borderId="0" xfId="1" applyFont="1" applyFill="1"/>
    <xf numFmtId="0" fontId="3" fillId="5" borderId="0" xfId="1" applyFont="1" applyFill="1" applyAlignment="1">
      <alignment horizontal="center" vertical="center" wrapText="1"/>
    </xf>
    <xf numFmtId="178" fontId="1" fillId="6" borderId="1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179" fontId="7" fillId="6" borderId="1" xfId="1" applyNumberFormat="1" applyFont="1" applyFill="1" applyBorder="1" applyAlignment="1">
      <alignment vertical="center"/>
    </xf>
    <xf numFmtId="0" fontId="7" fillId="6" borderId="1" xfId="1" applyFont="1" applyFill="1" applyBorder="1" applyAlignment="1">
      <alignment vertical="center"/>
    </xf>
    <xf numFmtId="2" fontId="8" fillId="0" borderId="1" xfId="1" applyNumberFormat="1" applyFont="1" applyBorder="1" applyAlignment="1">
      <alignment vertical="center"/>
    </xf>
    <xf numFmtId="0" fontId="2" fillId="2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1" fillId="5" borderId="2" xfId="1" applyFont="1" applyFill="1" applyBorder="1" applyAlignment="1">
      <alignment vertical="center"/>
    </xf>
    <xf numFmtId="0" fontId="1" fillId="5" borderId="3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177" fontId="1" fillId="0" borderId="0" xfId="1" applyNumberFormat="1" applyFont="1" applyAlignment="1">
      <alignment vertical="center"/>
    </xf>
    <xf numFmtId="0" fontId="3" fillId="0" borderId="5" xfId="1" applyFont="1" applyBorder="1" applyAlignment="1">
      <alignment vertical="center"/>
    </xf>
    <xf numFmtId="177" fontId="3" fillId="0" borderId="5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177" fontId="1" fillId="0" borderId="5" xfId="1" applyNumberFormat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177" fontId="3" fillId="0" borderId="6" xfId="1" applyNumberFormat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180" fontId="13" fillId="0" borderId="6" xfId="1" applyNumberFormat="1" applyFont="1" applyBorder="1" applyAlignment="1">
      <alignment vertical="center"/>
    </xf>
    <xf numFmtId="177" fontId="3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6" fillId="0" borderId="0" xfId="0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W1100"/>
  <sheetViews>
    <sheetView showGridLines="0" tabSelected="1" workbookViewId="0">
      <pane ySplit="3" topLeftCell="A32" activePane="bottomLeft" state="frozen"/>
      <selection pane="bottomLeft" activeCell="E58" sqref="E58"/>
    </sheetView>
  </sheetViews>
  <sheetFormatPr baseColWidth="10" defaultColWidth="8.83203125" defaultRowHeight="14"/>
  <cols>
    <col min="1" max="1" width="30" customWidth="1"/>
    <col min="2" max="4" width="3" customWidth="1"/>
    <col min="5" max="5" width="15" customWidth="1"/>
    <col min="6" max="6" width="3" customWidth="1"/>
    <col min="7" max="7" width="4" customWidth="1"/>
    <col min="8" max="8" width="31" customWidth="1"/>
    <col min="9" max="12" width="3" customWidth="1"/>
    <col min="13" max="13" width="16" customWidth="1"/>
  </cols>
  <sheetData>
    <row r="1" spans="1:23" ht="18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">
      <c r="A2" s="19" t="str">
        <f>'Transaction Analysis'!$B$2</f>
        <v>Company Name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21" t="str">
        <f>"For the period ended "&amp;TEXT('Transaction Analysis'!$B$3,"mmmm d, yyyy")</f>
        <v>For the period ended December 31, 2027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22" t="s">
        <v>1</v>
      </c>
      <c r="B5" s="23"/>
      <c r="C5" s="23"/>
      <c r="D5" s="23"/>
      <c r="E5" s="23"/>
      <c r="F5" s="24"/>
      <c r="G5" s="20"/>
      <c r="H5" s="22" t="s">
        <v>2</v>
      </c>
      <c r="I5" s="23"/>
      <c r="J5" s="23"/>
      <c r="K5" s="23"/>
      <c r="L5" s="23"/>
      <c r="M5" s="24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25" t="str">
        <f>"For the period ended "&amp;TEXT('Transaction Analysis'!$B$3,"mmmm d, yyyy")</f>
        <v>For the period ended December 31, 2027</v>
      </c>
      <c r="B6" s="20"/>
      <c r="C6" s="20"/>
      <c r="D6" s="20"/>
      <c r="E6" s="20"/>
      <c r="F6" s="20"/>
      <c r="G6" s="20"/>
      <c r="H6" s="25" t="str">
        <f>"For the period ended "&amp;TEXT('Transaction Analysis'!$B$3,"mmmm d, yyyy")</f>
        <v>For the period ended December 31, 2027</v>
      </c>
      <c r="I6" s="20"/>
      <c r="J6" s="20"/>
      <c r="K6" s="20"/>
      <c r="L6" s="20"/>
      <c r="M6" s="20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26" t="s">
        <v>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20" t="s">
        <v>4</v>
      </c>
      <c r="B9" s="20"/>
      <c r="C9" s="20"/>
      <c r="D9" s="20"/>
      <c r="E9" s="27">
        <f>SUM('Transaction Analysis'!$L$7:$L$1006)</f>
        <v>0</v>
      </c>
      <c r="F9" s="20"/>
      <c r="G9" s="20"/>
      <c r="H9" s="20" t="s">
        <v>5</v>
      </c>
      <c r="I9" s="20"/>
      <c r="J9" s="20"/>
      <c r="K9" s="20"/>
      <c r="L9" s="20"/>
      <c r="M9" s="27">
        <f>'Transaction Analysis'!$B$4</f>
        <v>0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20" t="s">
        <v>6</v>
      </c>
      <c r="B10" s="20"/>
      <c r="C10" s="20"/>
      <c r="D10" s="20"/>
      <c r="E10" s="27">
        <f>SUM('Transaction Analysis'!$M$7:$M$1006)</f>
        <v>0</v>
      </c>
      <c r="F10" s="20"/>
      <c r="G10" s="20"/>
      <c r="H10" s="20" t="s">
        <v>7</v>
      </c>
      <c r="I10" s="20"/>
      <c r="J10" s="20"/>
      <c r="K10" s="20"/>
      <c r="L10" s="20"/>
      <c r="M10" s="27">
        <f>E18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28" t="s">
        <v>8</v>
      </c>
      <c r="B11" s="28"/>
      <c r="C11" s="28"/>
      <c r="D11" s="28"/>
      <c r="E11" s="29">
        <f>SUM(E9:E10)</f>
        <v>0</v>
      </c>
      <c r="F11" s="20"/>
      <c r="G11" s="20"/>
      <c r="H11" s="30" t="s">
        <v>9</v>
      </c>
      <c r="I11" s="30"/>
      <c r="J11" s="30"/>
      <c r="K11" s="30"/>
      <c r="L11" s="30"/>
      <c r="M11" s="31">
        <f>SUM('Transaction Analysis'!$K$7:$K$1006)</f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26" t="s">
        <v>10</v>
      </c>
      <c r="B12" s="20"/>
      <c r="C12" s="20"/>
      <c r="D12" s="20"/>
      <c r="E12" s="27"/>
      <c r="F12" s="20"/>
      <c r="G12" s="20"/>
      <c r="H12" s="20"/>
      <c r="I12" s="20"/>
      <c r="J12" s="20"/>
      <c r="K12" s="20"/>
      <c r="L12" s="20"/>
      <c r="M12" s="27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20" t="s">
        <v>11</v>
      </c>
      <c r="B13" s="20"/>
      <c r="C13" s="20"/>
      <c r="D13" s="20"/>
      <c r="E13" s="27">
        <f>SUM('Transaction Analysis'!$N$7:$N$1006)</f>
        <v>0</v>
      </c>
      <c r="F13" s="20"/>
      <c r="G13" s="20"/>
      <c r="H13" s="32" t="s">
        <v>12</v>
      </c>
      <c r="I13" s="32"/>
      <c r="J13" s="32"/>
      <c r="K13" s="32"/>
      <c r="L13" s="32"/>
      <c r="M13" s="33">
        <f>M9+M10-M11</f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20" t="s">
        <v>13</v>
      </c>
      <c r="B14" s="20"/>
      <c r="C14" s="20"/>
      <c r="D14" s="20"/>
      <c r="E14" s="27">
        <f>SUM('Transaction Analysis'!$O$7:$O$1006)</f>
        <v>0</v>
      </c>
      <c r="F14" s="20"/>
      <c r="G14" s="20"/>
      <c r="H14" s="20"/>
      <c r="I14" s="20"/>
      <c r="J14" s="20"/>
      <c r="K14" s="20"/>
      <c r="L14" s="20"/>
      <c r="M14" s="20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20" t="s">
        <v>14</v>
      </c>
      <c r="B15" s="20"/>
      <c r="C15" s="20"/>
      <c r="D15" s="20"/>
      <c r="E15" s="27">
        <f>SUM('Transaction Analysis'!$P$7:$P$1006)</f>
        <v>0</v>
      </c>
      <c r="F15" s="20"/>
      <c r="G15" s="20"/>
      <c r="H15" s="20"/>
      <c r="I15" s="20"/>
      <c r="J15" s="20"/>
      <c r="K15" s="20"/>
      <c r="L15" s="20"/>
      <c r="M15" s="20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20" t="s">
        <v>15</v>
      </c>
      <c r="B16" s="20"/>
      <c r="C16" s="20"/>
      <c r="D16" s="20"/>
      <c r="E16" s="27">
        <f>SUM('Transaction Analysis'!$Q$7:$Q$1006)</f>
        <v>0</v>
      </c>
      <c r="F16" s="20"/>
      <c r="G16" s="20"/>
      <c r="H16" s="20"/>
      <c r="I16" s="20"/>
      <c r="J16" s="20"/>
      <c r="K16" s="20"/>
      <c r="L16" s="20"/>
      <c r="M16" s="20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28" t="s">
        <v>16</v>
      </c>
      <c r="B17" s="28"/>
      <c r="C17" s="28"/>
      <c r="D17" s="28"/>
      <c r="E17" s="29">
        <f>SUM(E13:E16)</f>
        <v>0</v>
      </c>
      <c r="F17" s="20"/>
      <c r="G17" s="20"/>
      <c r="H17" s="20"/>
      <c r="I17" s="20"/>
      <c r="J17" s="20"/>
      <c r="K17" s="20"/>
      <c r="L17" s="20"/>
      <c r="M17" s="20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32" t="s">
        <v>17</v>
      </c>
      <c r="B18" s="32"/>
      <c r="C18" s="32"/>
      <c r="D18" s="32"/>
      <c r="E18" s="33">
        <f>E11-E17</f>
        <v>0</v>
      </c>
      <c r="F18" s="20"/>
      <c r="G18" s="20"/>
      <c r="H18" s="20"/>
      <c r="I18" s="20"/>
      <c r="J18" s="20"/>
      <c r="K18" s="20"/>
      <c r="L18" s="20"/>
      <c r="M18" s="20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22" t="s">
        <v>18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4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25" t="str">
        <f>TEXT('Transaction Analysis'!$B$3,"mmmm d, yyyy")</f>
        <v>December 31, 2027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26" t="s">
        <v>19</v>
      </c>
      <c r="B25" s="20"/>
      <c r="C25" s="20"/>
      <c r="D25" s="20"/>
      <c r="E25" s="20"/>
      <c r="F25" s="20"/>
      <c r="G25" s="20"/>
      <c r="H25" s="26" t="s">
        <v>20</v>
      </c>
      <c r="I25" s="20"/>
      <c r="J25" s="20"/>
      <c r="K25" s="20"/>
      <c r="L25" s="20"/>
      <c r="M25" s="20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20" t="s">
        <v>21</v>
      </c>
      <c r="B26" s="20"/>
      <c r="C26" s="20"/>
      <c r="D26" s="20"/>
      <c r="E26" s="27">
        <f>'Transaction Analysis'!$E$2+SUM('Transaction Analysis'!$C$7:$C$1006)</f>
        <v>0</v>
      </c>
      <c r="F26" s="20"/>
      <c r="G26" s="20"/>
      <c r="H26" s="20" t="s">
        <v>22</v>
      </c>
      <c r="I26" s="20"/>
      <c r="J26" s="20"/>
      <c r="K26" s="20"/>
      <c r="L26" s="20"/>
      <c r="M26" s="27">
        <f>SUM('Transaction Analysis'!$H$7:$H$1006)</f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20" t="s">
        <v>23</v>
      </c>
      <c r="B27" s="20"/>
      <c r="C27" s="20"/>
      <c r="D27" s="20"/>
      <c r="E27" s="27">
        <f>SUM('Transaction Analysis'!$D$7:$D$1006)</f>
        <v>0</v>
      </c>
      <c r="F27" s="20"/>
      <c r="G27" s="20"/>
      <c r="H27" s="20" t="s">
        <v>24</v>
      </c>
      <c r="I27" s="20"/>
      <c r="J27" s="20"/>
      <c r="K27" s="20"/>
      <c r="L27" s="20"/>
      <c r="M27" s="27">
        <f>SUM('Transaction Analysis'!$I$7:$I$1006)</f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20" t="s">
        <v>25</v>
      </c>
      <c r="B28" s="20"/>
      <c r="C28" s="20"/>
      <c r="D28" s="20"/>
      <c r="E28" s="27">
        <f>SUM('Transaction Analysis'!$E$7:$E$1006)</f>
        <v>0</v>
      </c>
      <c r="F28" s="20"/>
      <c r="G28" s="20"/>
      <c r="H28" s="28" t="s">
        <v>26</v>
      </c>
      <c r="I28" s="28"/>
      <c r="J28" s="28"/>
      <c r="K28" s="28"/>
      <c r="L28" s="28"/>
      <c r="M28" s="29">
        <f>SUM(M26:M27)</f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20" t="s">
        <v>27</v>
      </c>
      <c r="B29" s="20"/>
      <c r="C29" s="20"/>
      <c r="D29" s="20"/>
      <c r="E29" s="27">
        <f>SUM('Transaction Analysis'!$F$7:$F$1006)</f>
        <v>0</v>
      </c>
      <c r="F29" s="20"/>
      <c r="G29" s="20"/>
      <c r="H29" s="20"/>
      <c r="I29" s="20"/>
      <c r="J29" s="20"/>
      <c r="K29" s="20"/>
      <c r="L29" s="20"/>
      <c r="M29" s="27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20" t="s">
        <v>28</v>
      </c>
      <c r="B30" s="20"/>
      <c r="C30" s="20"/>
      <c r="D30" s="20"/>
      <c r="E30" s="27">
        <f>SUM('Transaction Analysis'!$G$7:$G$1006)</f>
        <v>0</v>
      </c>
      <c r="F30" s="20"/>
      <c r="G30" s="20"/>
      <c r="H30" s="26" t="s">
        <v>29</v>
      </c>
      <c r="I30" s="20"/>
      <c r="J30" s="20"/>
      <c r="K30" s="20"/>
      <c r="L30" s="20"/>
      <c r="M30" s="27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32" t="s">
        <v>30</v>
      </c>
      <c r="B31" s="32"/>
      <c r="C31" s="32"/>
      <c r="D31" s="32"/>
      <c r="E31" s="33">
        <f>SUM(E26:E30)</f>
        <v>0</v>
      </c>
      <c r="F31" s="20"/>
      <c r="G31" s="20"/>
      <c r="H31" s="20" t="s">
        <v>31</v>
      </c>
      <c r="I31" s="20"/>
      <c r="J31" s="20"/>
      <c r="K31" s="20"/>
      <c r="L31" s="20"/>
      <c r="M31" s="27">
        <f>SUM('Transaction Analysis'!$J$7:$J$1006)</f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20"/>
      <c r="B32" s="20"/>
      <c r="C32" s="20"/>
      <c r="D32" s="20"/>
      <c r="E32" s="20"/>
      <c r="F32" s="20"/>
      <c r="G32" s="20"/>
      <c r="H32" s="20" t="s">
        <v>32</v>
      </c>
      <c r="I32" s="20"/>
      <c r="J32" s="20"/>
      <c r="K32" s="20"/>
      <c r="L32" s="20"/>
      <c r="M32" s="27">
        <f>M13</f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20"/>
      <c r="B33" s="20"/>
      <c r="C33" s="20"/>
      <c r="D33" s="20"/>
      <c r="E33" s="20"/>
      <c r="F33" s="20"/>
      <c r="G33" s="20"/>
      <c r="H33" s="28" t="s">
        <v>33</v>
      </c>
      <c r="I33" s="28"/>
      <c r="J33" s="28"/>
      <c r="K33" s="28"/>
      <c r="L33" s="28"/>
      <c r="M33" s="29">
        <f>SUM(M31:M32)</f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7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20"/>
      <c r="B35" s="20"/>
      <c r="C35" s="20"/>
      <c r="D35" s="20"/>
      <c r="E35" s="20"/>
      <c r="F35" s="20"/>
      <c r="G35" s="20"/>
      <c r="H35" s="32" t="s">
        <v>34</v>
      </c>
      <c r="I35" s="32"/>
      <c r="J35" s="32"/>
      <c r="K35" s="32"/>
      <c r="L35" s="32"/>
      <c r="M35" s="33">
        <f>M28+M33</f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22" t="s">
        <v>35</v>
      </c>
      <c r="B40" s="23"/>
      <c r="C40" s="23"/>
      <c r="D40" s="23"/>
      <c r="E40" s="23"/>
      <c r="F40" s="24"/>
      <c r="G40" s="20"/>
      <c r="H40" s="22" t="s">
        <v>36</v>
      </c>
      <c r="I40" s="23"/>
      <c r="J40" s="23"/>
      <c r="K40" s="23"/>
      <c r="L40" s="23"/>
      <c r="M40" s="24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25" t="str">
        <f>"For the period ended "&amp;TEXT('Transaction Analysis'!$B$3,"mmmm d, yyyy")</f>
        <v>For the period ended December 31, 2027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20"/>
      <c r="B42" s="20"/>
      <c r="C42" s="20"/>
      <c r="D42" s="20"/>
      <c r="E42" s="20"/>
      <c r="F42" s="20"/>
      <c r="G42" s="20"/>
      <c r="H42" s="20" t="s">
        <v>17</v>
      </c>
      <c r="I42" s="20"/>
      <c r="J42" s="20"/>
      <c r="K42" s="20"/>
      <c r="L42" s="20"/>
      <c r="M42" s="27">
        <f>E18</f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26" t="s">
        <v>37</v>
      </c>
      <c r="B43" s="20"/>
      <c r="C43" s="20"/>
      <c r="D43" s="20"/>
      <c r="E43" s="20"/>
      <c r="F43" s="20"/>
      <c r="G43" s="20"/>
      <c r="H43" s="20" t="s">
        <v>38</v>
      </c>
      <c r="I43" s="20"/>
      <c r="J43" s="20"/>
      <c r="K43" s="20"/>
      <c r="L43" s="20"/>
      <c r="M43" s="27">
        <f>'Transaction Analysis'!$E$3</f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28" t="s">
        <v>39</v>
      </c>
      <c r="B44" s="28"/>
      <c r="C44" s="28"/>
      <c r="D44" s="28"/>
      <c r="E44" s="29">
        <f>SUM('Transaction Analysis'!$R$7:$R$1006)</f>
        <v>0</v>
      </c>
      <c r="F44" s="20"/>
      <c r="G44" s="20"/>
      <c r="H44" s="20" t="s">
        <v>40</v>
      </c>
      <c r="I44" s="20"/>
      <c r="J44" s="20"/>
      <c r="K44" s="20"/>
      <c r="L44" s="20"/>
      <c r="M44" s="27">
        <f>E31</f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20"/>
      <c r="B45" s="20"/>
      <c r="C45" s="20"/>
      <c r="D45" s="20"/>
      <c r="E45" s="27"/>
      <c r="F45" s="20"/>
      <c r="G45" s="20"/>
      <c r="H45" s="20" t="s">
        <v>41</v>
      </c>
      <c r="I45" s="20"/>
      <c r="J45" s="20"/>
      <c r="K45" s="20"/>
      <c r="L45" s="20"/>
      <c r="M45" s="27">
        <f>AVERAGE(M43:M44)</f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26" t="s">
        <v>42</v>
      </c>
      <c r="B46" s="20"/>
      <c r="C46" s="20"/>
      <c r="D46" s="20"/>
      <c r="E46" s="27"/>
      <c r="F46" s="20"/>
      <c r="G46" s="20"/>
      <c r="H46" s="34" t="s">
        <v>43</v>
      </c>
      <c r="I46" s="34"/>
      <c r="J46" s="34"/>
      <c r="K46" s="34"/>
      <c r="L46" s="34"/>
      <c r="M46" s="35" t="str">
        <f>IF(M45=0,"n.a.",M42/M45)</f>
        <v>n.a.</v>
      </c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28" t="s">
        <v>44</v>
      </c>
      <c r="B47" s="28"/>
      <c r="C47" s="28"/>
      <c r="D47" s="28"/>
      <c r="E47" s="29">
        <f>SUM('Transaction Analysis'!$S$7:$S$1006)</f>
        <v>0</v>
      </c>
      <c r="F47" s="20"/>
      <c r="G47" s="20"/>
      <c r="H47" s="20"/>
      <c r="I47" s="20"/>
      <c r="J47" s="20"/>
      <c r="K47" s="20"/>
      <c r="L47" s="20"/>
      <c r="M47" s="20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20"/>
      <c r="B48" s="20"/>
      <c r="C48" s="20"/>
      <c r="D48" s="20"/>
      <c r="E48" s="27"/>
      <c r="F48" s="20"/>
      <c r="G48" s="20"/>
      <c r="H48" s="20"/>
      <c r="I48" s="20"/>
      <c r="J48" s="20"/>
      <c r="K48" s="20"/>
      <c r="L48" s="20"/>
      <c r="M48" s="20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26" t="s">
        <v>45</v>
      </c>
      <c r="B49" s="20"/>
      <c r="C49" s="20"/>
      <c r="D49" s="20"/>
      <c r="E49" s="27"/>
      <c r="F49" s="20"/>
      <c r="G49" s="20"/>
      <c r="H49" s="20"/>
      <c r="I49" s="20"/>
      <c r="J49" s="20"/>
      <c r="K49" s="20"/>
      <c r="L49" s="20"/>
      <c r="M49" s="20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28" t="s">
        <v>46</v>
      </c>
      <c r="B50" s="28"/>
      <c r="C50" s="28"/>
      <c r="D50" s="28"/>
      <c r="E50" s="29">
        <f>SUM('Transaction Analysis'!$T$7:$T$1006)</f>
        <v>0</v>
      </c>
      <c r="F50" s="20"/>
      <c r="G50" s="20"/>
      <c r="H50" s="22" t="s">
        <v>47</v>
      </c>
      <c r="I50" s="23"/>
      <c r="J50" s="23"/>
      <c r="K50" s="23"/>
      <c r="L50" s="23"/>
      <c r="M50" s="24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20"/>
      <c r="B51" s="20"/>
      <c r="C51" s="20"/>
      <c r="D51" s="20"/>
      <c r="E51" s="27"/>
      <c r="F51" s="20"/>
      <c r="G51" s="20"/>
      <c r="H51" s="20"/>
      <c r="I51" s="20"/>
      <c r="J51" s="20"/>
      <c r="K51" s="20"/>
      <c r="L51" s="20"/>
      <c r="M51" s="20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26" t="s">
        <v>48</v>
      </c>
      <c r="B52" s="26"/>
      <c r="C52" s="26"/>
      <c r="D52" s="26"/>
      <c r="E52" s="36">
        <f>SUM(E44,E47,E50)</f>
        <v>0</v>
      </c>
      <c r="F52" s="20"/>
      <c r="G52" s="20"/>
      <c r="H52" s="20" t="s">
        <v>49</v>
      </c>
      <c r="I52" s="20"/>
      <c r="J52" s="20"/>
      <c r="K52" s="20"/>
      <c r="L52" s="20"/>
      <c r="M52" s="37">
        <f>E18-(E11-E17)</f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26" t="s">
        <v>50</v>
      </c>
      <c r="B53" s="26"/>
      <c r="C53" s="26"/>
      <c r="D53" s="26"/>
      <c r="E53" s="36">
        <f>'Transaction Analysis'!$E$2</f>
        <v>0</v>
      </c>
      <c r="F53" s="20"/>
      <c r="G53" s="20"/>
      <c r="H53" s="20" t="s">
        <v>51</v>
      </c>
      <c r="I53" s="20"/>
      <c r="J53" s="20"/>
      <c r="K53" s="20"/>
      <c r="L53" s="20"/>
      <c r="M53" s="37">
        <f>M13-M32</f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32" t="s">
        <v>52</v>
      </c>
      <c r="B54" s="32"/>
      <c r="C54" s="32"/>
      <c r="D54" s="32"/>
      <c r="E54" s="33">
        <f>E52+E53</f>
        <v>0</v>
      </c>
      <c r="F54" s="20"/>
      <c r="G54" s="20"/>
      <c r="H54" s="20" t="s">
        <v>53</v>
      </c>
      <c r="I54" s="20"/>
      <c r="J54" s="20"/>
      <c r="K54" s="20"/>
      <c r="L54" s="20"/>
      <c r="M54" s="37">
        <f>E54-E26</f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20" t="s">
        <v>54</v>
      </c>
      <c r="B55" s="20"/>
      <c r="C55" s="20"/>
      <c r="D55" s="20"/>
      <c r="E55" s="20"/>
      <c r="F55" s="20"/>
      <c r="G55" s="20"/>
      <c r="H55" s="20" t="s">
        <v>55</v>
      </c>
      <c r="I55" s="20"/>
      <c r="J55" s="20"/>
      <c r="K55" s="20"/>
      <c r="L55" s="20"/>
      <c r="M55" s="37">
        <f>E31-M35</f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21" t="s">
        <v>56</v>
      </c>
      <c r="B56" s="21"/>
      <c r="C56" s="21"/>
      <c r="D56" s="21"/>
      <c r="E56" s="21"/>
      <c r="F56" s="21"/>
      <c r="G56" s="20"/>
      <c r="H56" s="20" t="s">
        <v>57</v>
      </c>
      <c r="I56" s="20"/>
      <c r="J56" s="20"/>
      <c r="K56" s="20"/>
      <c r="L56" s="20"/>
      <c r="M56" s="38">
        <f>COUNTIF('Transaction Analysis'!$V$7:$V$1006,"&lt;&gt;0")</f>
        <v>1000</v>
      </c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20"/>
      <c r="B57" s="20"/>
      <c r="C57" s="20"/>
      <c r="D57" s="20"/>
      <c r="E57" s="20"/>
      <c r="F57" s="20"/>
      <c r="G57" s="20"/>
      <c r="H57" s="20" t="s">
        <v>58</v>
      </c>
      <c r="I57" s="20"/>
      <c r="J57" s="20"/>
      <c r="K57" s="20"/>
      <c r="L57" s="20"/>
      <c r="M57" s="38">
        <f>COUNTIF('Transaction Analysis'!$W$7:$W$1006,"&lt;&gt;0")</f>
        <v>1000</v>
      </c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20"/>
      <c r="B58" s="20"/>
      <c r="C58" s="20"/>
      <c r="D58" s="20"/>
      <c r="E58" s="20"/>
      <c r="F58" s="20"/>
      <c r="G58" s="20"/>
      <c r="H58" s="26" t="s">
        <v>59</v>
      </c>
      <c r="I58" s="26"/>
      <c r="J58" s="26"/>
      <c r="K58" s="26"/>
      <c r="L58" s="26"/>
      <c r="M58" s="26" t="str">
        <f>IF(AND(ABS(M52)&lt;0.01,ABS(M53)&lt;0.01,ABS(M54)&lt;0.01,ABS(M55)&lt;0.01,M56=0,M57=0),"OK","CHECK")</f>
        <v>CHECK</v>
      </c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1:2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</sheetData>
  <phoneticPr fontId="15" type="noConversion"/>
  <conditionalFormatting sqref="M52:M57">
    <cfRule type="cellIs" dxfId="2" priority="1" operator="notEqual">
      <formula>0</formula>
    </cfRule>
  </conditionalFormatting>
  <conditionalFormatting sqref="M58">
    <cfRule type="containsText" dxfId="1" priority="2" operator="containsText" text="CHEC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W110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U13" sqref="U13"/>
    </sheetView>
  </sheetViews>
  <sheetFormatPr baseColWidth="10" defaultColWidth="8.83203125" defaultRowHeight="14"/>
  <cols>
    <col min="1" max="1" width="11" customWidth="1"/>
    <col min="2" max="2" width="34" customWidth="1"/>
    <col min="3" max="6" width="14" customWidth="1"/>
    <col min="7" max="7" width="18" customWidth="1"/>
    <col min="8" max="20" width="14" customWidth="1"/>
    <col min="21" max="21" width="34" customWidth="1"/>
    <col min="22" max="23" width="17" customWidth="1"/>
  </cols>
  <sheetData>
    <row r="1" spans="1:23" ht="26" customHeight="1">
      <c r="A1" s="3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4" t="s">
        <v>61</v>
      </c>
      <c r="B2" s="5" t="s">
        <v>62</v>
      </c>
      <c r="C2" s="1"/>
      <c r="D2" s="4" t="s">
        <v>63</v>
      </c>
      <c r="E2" s="7">
        <v>0</v>
      </c>
      <c r="F2" s="1"/>
      <c r="G2" s="9" t="s">
        <v>64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4" t="s">
        <v>65</v>
      </c>
      <c r="B3" s="6">
        <v>46752</v>
      </c>
      <c r="C3" s="1"/>
      <c r="D3" s="4" t="s">
        <v>66</v>
      </c>
      <c r="E3" s="7">
        <v>0</v>
      </c>
      <c r="F3" s="1"/>
      <c r="G3" s="10" t="s">
        <v>67</v>
      </c>
      <c r="H3" s="10"/>
      <c r="I3" s="10"/>
      <c r="J3" s="10" t="s">
        <v>68</v>
      </c>
      <c r="K3" s="10"/>
      <c r="L3" s="10"/>
      <c r="M3" s="10" t="s">
        <v>69</v>
      </c>
      <c r="N3" s="10"/>
      <c r="O3" s="10"/>
      <c r="P3" s="10"/>
      <c r="Q3" s="10" t="s">
        <v>70</v>
      </c>
      <c r="R3" s="10"/>
      <c r="S3" s="10"/>
      <c r="T3" s="10"/>
      <c r="U3" s="10" t="s">
        <v>71</v>
      </c>
      <c r="V3" s="10"/>
      <c r="W3" s="10"/>
    </row>
    <row r="4" spans="1:23">
      <c r="A4" s="4" t="s">
        <v>5</v>
      </c>
      <c r="B4" s="7">
        <v>0</v>
      </c>
      <c r="C4" s="1"/>
      <c r="D4" s="4" t="s">
        <v>72</v>
      </c>
      <c r="E4" s="5" t="s">
        <v>73</v>
      </c>
      <c r="F4" s="1"/>
      <c r="G4" s="10" t="s">
        <v>74</v>
      </c>
      <c r="H4" s="10"/>
      <c r="I4" s="10"/>
      <c r="J4" s="10" t="s">
        <v>75</v>
      </c>
      <c r="K4" s="10"/>
      <c r="L4" s="10"/>
      <c r="M4" s="10" t="s">
        <v>76</v>
      </c>
      <c r="N4" s="10"/>
      <c r="O4" s="10"/>
      <c r="P4" s="10"/>
      <c r="Q4" s="10" t="s">
        <v>77</v>
      </c>
      <c r="R4" s="10"/>
      <c r="S4" s="10"/>
      <c r="T4" s="10"/>
      <c r="U4" s="10"/>
      <c r="V4" s="10"/>
      <c r="W4" s="10"/>
    </row>
    <row r="5" spans="1:23" s="42" customFormat="1" ht="56" customHeight="1">
      <c r="A5" s="39" t="s">
        <v>78</v>
      </c>
      <c r="B5" s="40"/>
      <c r="C5" s="41" t="s">
        <v>19</v>
      </c>
      <c r="D5" s="41"/>
      <c r="E5" s="41"/>
      <c r="F5" s="41"/>
      <c r="G5" s="41"/>
      <c r="H5" s="41" t="s">
        <v>20</v>
      </c>
      <c r="I5" s="41"/>
      <c r="J5" s="41" t="s">
        <v>29</v>
      </c>
      <c r="K5" s="41"/>
      <c r="L5" s="41"/>
      <c r="M5" s="41"/>
      <c r="N5" s="41"/>
      <c r="O5" s="41"/>
      <c r="P5" s="41"/>
      <c r="Q5" s="41"/>
      <c r="R5" s="41" t="s">
        <v>79</v>
      </c>
      <c r="S5" s="41"/>
      <c r="T5" s="41"/>
      <c r="U5" s="40" t="s">
        <v>80</v>
      </c>
      <c r="V5" s="41" t="s">
        <v>81</v>
      </c>
      <c r="W5" s="41"/>
    </row>
    <row r="6" spans="1:23" ht="42" customHeight="1">
      <c r="A6" s="11" t="s">
        <v>82</v>
      </c>
      <c r="B6" s="11" t="s">
        <v>83</v>
      </c>
      <c r="C6" s="11" t="s">
        <v>21</v>
      </c>
      <c r="D6" s="11" t="s">
        <v>84</v>
      </c>
      <c r="E6" s="11" t="s">
        <v>25</v>
      </c>
      <c r="F6" s="11" t="s">
        <v>85</v>
      </c>
      <c r="G6" s="11" t="s">
        <v>28</v>
      </c>
      <c r="H6" s="11" t="s">
        <v>86</v>
      </c>
      <c r="I6" s="11" t="s">
        <v>87</v>
      </c>
      <c r="J6" s="11" t="s">
        <v>88</v>
      </c>
      <c r="K6" s="11" t="s">
        <v>89</v>
      </c>
      <c r="L6" s="11" t="s">
        <v>90</v>
      </c>
      <c r="M6" s="11" t="s">
        <v>91</v>
      </c>
      <c r="N6" s="11" t="s">
        <v>92</v>
      </c>
      <c r="O6" s="11" t="s">
        <v>93</v>
      </c>
      <c r="P6" s="11" t="s">
        <v>94</v>
      </c>
      <c r="Q6" s="11" t="s">
        <v>95</v>
      </c>
      <c r="R6" s="11" t="s">
        <v>96</v>
      </c>
      <c r="S6" s="11" t="s">
        <v>97</v>
      </c>
      <c r="T6" s="11" t="s">
        <v>98</v>
      </c>
      <c r="U6" s="11" t="s">
        <v>99</v>
      </c>
      <c r="V6" s="11" t="s">
        <v>100</v>
      </c>
      <c r="W6" s="11" t="s">
        <v>101</v>
      </c>
    </row>
    <row r="7" spans="1:23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16" t="str">
        <f t="shared" ref="V7:V70" si="0">IF(COUNTA($A7:$U7)=0,"",SUM($C7:$G7)-SUM($H7:$I7)-$J7+$K7-$L7-$M7+SUM($N7:$Q7))</f>
        <v/>
      </c>
      <c r="W7" s="16" t="str">
        <f t="shared" ref="W7:W70" si="1">IF(COUNTA($A7:$U7)=0,"",$C7-SUM($R7:$T7))</f>
        <v/>
      </c>
    </row>
    <row r="8" spans="1:23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6" t="str">
        <f t="shared" si="0"/>
        <v/>
      </c>
      <c r="W8" s="16" t="str">
        <f t="shared" si="1"/>
        <v/>
      </c>
    </row>
    <row r="9" spans="1:23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/>
      <c r="V9" s="16" t="str">
        <f t="shared" si="0"/>
        <v/>
      </c>
      <c r="W9" s="16" t="str">
        <f t="shared" si="1"/>
        <v/>
      </c>
    </row>
    <row r="10" spans="1:23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6" t="str">
        <f t="shared" si="0"/>
        <v/>
      </c>
      <c r="W10" s="16" t="str">
        <f t="shared" si="1"/>
        <v/>
      </c>
    </row>
    <row r="11" spans="1:23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V11" s="16" t="str">
        <f t="shared" si="0"/>
        <v/>
      </c>
      <c r="W11" s="16" t="str">
        <f t="shared" si="1"/>
        <v/>
      </c>
    </row>
    <row r="12" spans="1:23">
      <c r="A12" s="12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6" t="str">
        <f t="shared" si="0"/>
        <v/>
      </c>
      <c r="W12" s="16" t="str">
        <f t="shared" si="1"/>
        <v/>
      </c>
    </row>
    <row r="13" spans="1:23">
      <c r="A13" s="12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5"/>
      <c r="V13" s="16" t="str">
        <f t="shared" si="0"/>
        <v/>
      </c>
      <c r="W13" s="16" t="str">
        <f t="shared" si="1"/>
        <v/>
      </c>
    </row>
    <row r="14" spans="1:23">
      <c r="A14" s="12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6" t="str">
        <f t="shared" si="0"/>
        <v/>
      </c>
      <c r="W14" s="16" t="str">
        <f t="shared" si="1"/>
        <v/>
      </c>
    </row>
    <row r="15" spans="1:23">
      <c r="A15" s="12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16" t="str">
        <f t="shared" si="0"/>
        <v/>
      </c>
      <c r="W15" s="16" t="str">
        <f t="shared" si="1"/>
        <v/>
      </c>
    </row>
    <row r="16" spans="1:23">
      <c r="A16" s="12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6" t="str">
        <f t="shared" si="0"/>
        <v/>
      </c>
      <c r="W16" s="16" t="str">
        <f t="shared" si="1"/>
        <v/>
      </c>
    </row>
    <row r="17" spans="1:23">
      <c r="A17" s="12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6" t="str">
        <f t="shared" si="0"/>
        <v/>
      </c>
      <c r="W17" s="16" t="str">
        <f t="shared" si="1"/>
        <v/>
      </c>
    </row>
    <row r="18" spans="1:23">
      <c r="A18" s="12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16" t="str">
        <f t="shared" si="0"/>
        <v/>
      </c>
      <c r="W18" s="16" t="str">
        <f t="shared" si="1"/>
        <v/>
      </c>
    </row>
    <row r="19" spans="1:23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16" t="str">
        <f t="shared" si="0"/>
        <v/>
      </c>
      <c r="W19" s="16" t="str">
        <f t="shared" si="1"/>
        <v/>
      </c>
    </row>
    <row r="20" spans="1:23">
      <c r="A20" s="12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5"/>
      <c r="V20" s="16" t="str">
        <f t="shared" si="0"/>
        <v/>
      </c>
      <c r="W20" s="16" t="str">
        <f t="shared" si="1"/>
        <v/>
      </c>
    </row>
    <row r="21" spans="1:23">
      <c r="A21" s="12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5"/>
      <c r="V21" s="16" t="str">
        <f t="shared" si="0"/>
        <v/>
      </c>
      <c r="W21" s="16" t="str">
        <f t="shared" si="1"/>
        <v/>
      </c>
    </row>
    <row r="22" spans="1:23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5"/>
      <c r="V22" s="16" t="str">
        <f t="shared" si="0"/>
        <v/>
      </c>
      <c r="W22" s="16" t="str">
        <f t="shared" si="1"/>
        <v/>
      </c>
    </row>
    <row r="23" spans="1:23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5"/>
      <c r="V23" s="16" t="str">
        <f t="shared" si="0"/>
        <v/>
      </c>
      <c r="W23" s="16" t="str">
        <f t="shared" si="1"/>
        <v/>
      </c>
    </row>
    <row r="24" spans="1:23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5"/>
      <c r="V24" s="16" t="str">
        <f t="shared" si="0"/>
        <v/>
      </c>
      <c r="W24" s="16" t="str">
        <f t="shared" si="1"/>
        <v/>
      </c>
    </row>
    <row r="25" spans="1:23">
      <c r="A25" s="12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5"/>
      <c r="V25" s="16" t="str">
        <f t="shared" si="0"/>
        <v/>
      </c>
      <c r="W25" s="16" t="str">
        <f t="shared" si="1"/>
        <v/>
      </c>
    </row>
    <row r="26" spans="1:23">
      <c r="A26" s="12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5"/>
      <c r="V26" s="16" t="str">
        <f t="shared" si="0"/>
        <v/>
      </c>
      <c r="W26" s="16" t="str">
        <f t="shared" si="1"/>
        <v/>
      </c>
    </row>
    <row r="27" spans="1:23">
      <c r="A27" s="12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5"/>
      <c r="V27" s="16" t="str">
        <f t="shared" si="0"/>
        <v/>
      </c>
      <c r="W27" s="16" t="str">
        <f t="shared" si="1"/>
        <v/>
      </c>
    </row>
    <row r="28" spans="1:23">
      <c r="A28" s="12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5"/>
      <c r="V28" s="16" t="str">
        <f t="shared" si="0"/>
        <v/>
      </c>
      <c r="W28" s="16" t="str">
        <f t="shared" si="1"/>
        <v/>
      </c>
    </row>
    <row r="29" spans="1:23">
      <c r="A29" s="12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5"/>
      <c r="V29" s="16" t="str">
        <f t="shared" si="0"/>
        <v/>
      </c>
      <c r="W29" s="16" t="str">
        <f t="shared" si="1"/>
        <v/>
      </c>
    </row>
    <row r="30" spans="1:23">
      <c r="A30" s="12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5"/>
      <c r="V30" s="16" t="str">
        <f t="shared" si="0"/>
        <v/>
      </c>
      <c r="W30" s="16" t="str">
        <f t="shared" si="1"/>
        <v/>
      </c>
    </row>
    <row r="31" spans="1:23">
      <c r="A31" s="12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5"/>
      <c r="V31" s="16" t="str">
        <f t="shared" si="0"/>
        <v/>
      </c>
      <c r="W31" s="16" t="str">
        <f t="shared" si="1"/>
        <v/>
      </c>
    </row>
    <row r="32" spans="1:23">
      <c r="A32" s="12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5"/>
      <c r="V32" s="16" t="str">
        <f t="shared" si="0"/>
        <v/>
      </c>
      <c r="W32" s="16" t="str">
        <f t="shared" si="1"/>
        <v/>
      </c>
    </row>
    <row r="33" spans="1:23">
      <c r="A33" s="12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16" t="str">
        <f t="shared" si="0"/>
        <v/>
      </c>
      <c r="W33" s="16" t="str">
        <f t="shared" si="1"/>
        <v/>
      </c>
    </row>
    <row r="34" spans="1:23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5"/>
      <c r="V34" s="16" t="str">
        <f t="shared" si="0"/>
        <v/>
      </c>
      <c r="W34" s="16" t="str">
        <f t="shared" si="1"/>
        <v/>
      </c>
    </row>
    <row r="35" spans="1:23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5"/>
      <c r="V35" s="16" t="str">
        <f t="shared" si="0"/>
        <v/>
      </c>
      <c r="W35" s="16" t="str">
        <f t="shared" si="1"/>
        <v/>
      </c>
    </row>
    <row r="36" spans="1:23">
      <c r="A36" s="12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16" t="str">
        <f t="shared" si="0"/>
        <v/>
      </c>
      <c r="W36" s="16" t="str">
        <f t="shared" si="1"/>
        <v/>
      </c>
    </row>
    <row r="37" spans="1:23">
      <c r="A37" s="12"/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5"/>
      <c r="V37" s="16" t="str">
        <f t="shared" si="0"/>
        <v/>
      </c>
      <c r="W37" s="16" t="str">
        <f t="shared" si="1"/>
        <v/>
      </c>
    </row>
    <row r="38" spans="1:23">
      <c r="A38" s="12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5"/>
      <c r="V38" s="16" t="str">
        <f t="shared" si="0"/>
        <v/>
      </c>
      <c r="W38" s="16" t="str">
        <f t="shared" si="1"/>
        <v/>
      </c>
    </row>
    <row r="39" spans="1:23">
      <c r="A39" s="12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5"/>
      <c r="V39" s="16" t="str">
        <f t="shared" si="0"/>
        <v/>
      </c>
      <c r="W39" s="16" t="str">
        <f t="shared" si="1"/>
        <v/>
      </c>
    </row>
    <row r="40" spans="1:23">
      <c r="A40" s="12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5"/>
      <c r="V40" s="16" t="str">
        <f t="shared" si="0"/>
        <v/>
      </c>
      <c r="W40" s="16" t="str">
        <f t="shared" si="1"/>
        <v/>
      </c>
    </row>
    <row r="41" spans="1:23">
      <c r="A41" s="12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5"/>
      <c r="V41" s="16" t="str">
        <f t="shared" si="0"/>
        <v/>
      </c>
      <c r="W41" s="16" t="str">
        <f t="shared" si="1"/>
        <v/>
      </c>
    </row>
    <row r="42" spans="1:23">
      <c r="A42" s="12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5"/>
      <c r="V42" s="16" t="str">
        <f t="shared" si="0"/>
        <v/>
      </c>
      <c r="W42" s="16" t="str">
        <f t="shared" si="1"/>
        <v/>
      </c>
    </row>
    <row r="43" spans="1:23">
      <c r="A43" s="12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6" t="str">
        <f t="shared" si="0"/>
        <v/>
      </c>
      <c r="W43" s="16" t="str">
        <f t="shared" si="1"/>
        <v/>
      </c>
    </row>
    <row r="44" spans="1:23">
      <c r="A44" s="12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5"/>
      <c r="V44" s="16" t="str">
        <f t="shared" si="0"/>
        <v/>
      </c>
      <c r="W44" s="16" t="str">
        <f t="shared" si="1"/>
        <v/>
      </c>
    </row>
    <row r="45" spans="1:23">
      <c r="A45" s="12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5"/>
      <c r="V45" s="16" t="str">
        <f t="shared" si="0"/>
        <v/>
      </c>
      <c r="W45" s="16" t="str">
        <f t="shared" si="1"/>
        <v/>
      </c>
    </row>
    <row r="46" spans="1:23">
      <c r="A46" s="12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5"/>
      <c r="V46" s="16" t="str">
        <f t="shared" si="0"/>
        <v/>
      </c>
      <c r="W46" s="16" t="str">
        <f t="shared" si="1"/>
        <v/>
      </c>
    </row>
    <row r="47" spans="1:23">
      <c r="A47" s="12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5"/>
      <c r="V47" s="16" t="str">
        <f t="shared" si="0"/>
        <v/>
      </c>
      <c r="W47" s="16" t="str">
        <f t="shared" si="1"/>
        <v/>
      </c>
    </row>
    <row r="48" spans="1:23">
      <c r="A48" s="12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5"/>
      <c r="V48" s="16" t="str">
        <f t="shared" si="0"/>
        <v/>
      </c>
      <c r="W48" s="16" t="str">
        <f t="shared" si="1"/>
        <v/>
      </c>
    </row>
    <row r="49" spans="1:23">
      <c r="A49" s="12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5"/>
      <c r="V49" s="16" t="str">
        <f t="shared" si="0"/>
        <v/>
      </c>
      <c r="W49" s="16" t="str">
        <f t="shared" si="1"/>
        <v/>
      </c>
    </row>
    <row r="50" spans="1:23">
      <c r="A50" s="12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5"/>
      <c r="V50" s="16" t="str">
        <f t="shared" si="0"/>
        <v/>
      </c>
      <c r="W50" s="16" t="str">
        <f t="shared" si="1"/>
        <v/>
      </c>
    </row>
    <row r="51" spans="1:23">
      <c r="A51" s="12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5"/>
      <c r="V51" s="16" t="str">
        <f t="shared" si="0"/>
        <v/>
      </c>
      <c r="W51" s="16" t="str">
        <f t="shared" si="1"/>
        <v/>
      </c>
    </row>
    <row r="52" spans="1:23">
      <c r="A52" s="12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5"/>
      <c r="V52" s="16" t="str">
        <f t="shared" si="0"/>
        <v/>
      </c>
      <c r="W52" s="16" t="str">
        <f t="shared" si="1"/>
        <v/>
      </c>
    </row>
    <row r="53" spans="1:23">
      <c r="A53" s="12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/>
      <c r="V53" s="16" t="str">
        <f t="shared" si="0"/>
        <v/>
      </c>
      <c r="W53" s="16" t="str">
        <f t="shared" si="1"/>
        <v/>
      </c>
    </row>
    <row r="54" spans="1:23">
      <c r="A54" s="12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16" t="str">
        <f t="shared" si="0"/>
        <v/>
      </c>
      <c r="W54" s="16" t="str">
        <f t="shared" si="1"/>
        <v/>
      </c>
    </row>
    <row r="55" spans="1:23">
      <c r="A55" s="12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5"/>
      <c r="V55" s="16" t="str">
        <f t="shared" si="0"/>
        <v/>
      </c>
      <c r="W55" s="16" t="str">
        <f t="shared" si="1"/>
        <v/>
      </c>
    </row>
    <row r="56" spans="1:23">
      <c r="A56" s="12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16" t="str">
        <f t="shared" si="0"/>
        <v/>
      </c>
      <c r="W56" s="16" t="str">
        <f t="shared" si="1"/>
        <v/>
      </c>
    </row>
    <row r="57" spans="1:23">
      <c r="A57" s="12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16" t="str">
        <f t="shared" si="0"/>
        <v/>
      </c>
      <c r="W57" s="16" t="str">
        <f t="shared" si="1"/>
        <v/>
      </c>
    </row>
    <row r="58" spans="1:23">
      <c r="A58" s="12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16" t="str">
        <f t="shared" si="0"/>
        <v/>
      </c>
      <c r="W58" s="16" t="str">
        <f t="shared" si="1"/>
        <v/>
      </c>
    </row>
    <row r="59" spans="1:23">
      <c r="A59" s="12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5"/>
      <c r="V59" s="16" t="str">
        <f t="shared" si="0"/>
        <v/>
      </c>
      <c r="W59" s="16" t="str">
        <f t="shared" si="1"/>
        <v/>
      </c>
    </row>
    <row r="60" spans="1:23">
      <c r="A60" s="12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16" t="str">
        <f t="shared" si="0"/>
        <v/>
      </c>
      <c r="W60" s="16" t="str">
        <f t="shared" si="1"/>
        <v/>
      </c>
    </row>
    <row r="61" spans="1:23">
      <c r="A61" s="12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5"/>
      <c r="V61" s="16" t="str">
        <f t="shared" si="0"/>
        <v/>
      </c>
      <c r="W61" s="16" t="str">
        <f t="shared" si="1"/>
        <v/>
      </c>
    </row>
    <row r="62" spans="1:23">
      <c r="A62" s="12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16" t="str">
        <f t="shared" si="0"/>
        <v/>
      </c>
      <c r="W62" s="16" t="str">
        <f t="shared" si="1"/>
        <v/>
      </c>
    </row>
    <row r="63" spans="1:23">
      <c r="A63" s="12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16" t="str">
        <f t="shared" si="0"/>
        <v/>
      </c>
      <c r="W63" s="16" t="str">
        <f t="shared" si="1"/>
        <v/>
      </c>
    </row>
    <row r="64" spans="1:23">
      <c r="A64" s="12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5"/>
      <c r="V64" s="16" t="str">
        <f t="shared" si="0"/>
        <v/>
      </c>
      <c r="W64" s="16" t="str">
        <f t="shared" si="1"/>
        <v/>
      </c>
    </row>
    <row r="65" spans="1:23">
      <c r="A65" s="12"/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5"/>
      <c r="V65" s="16" t="str">
        <f t="shared" si="0"/>
        <v/>
      </c>
      <c r="W65" s="16" t="str">
        <f t="shared" si="1"/>
        <v/>
      </c>
    </row>
    <row r="66" spans="1:23">
      <c r="A66" s="12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16" t="str">
        <f t="shared" si="0"/>
        <v/>
      </c>
      <c r="W66" s="16" t="str">
        <f t="shared" si="1"/>
        <v/>
      </c>
    </row>
    <row r="67" spans="1:23">
      <c r="A67" s="12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/>
      <c r="V67" s="16" t="str">
        <f t="shared" si="0"/>
        <v/>
      </c>
      <c r="W67" s="16" t="str">
        <f t="shared" si="1"/>
        <v/>
      </c>
    </row>
    <row r="68" spans="1:23">
      <c r="A68" s="12"/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5"/>
      <c r="V68" s="16" t="str">
        <f t="shared" si="0"/>
        <v/>
      </c>
      <c r="W68" s="16" t="str">
        <f t="shared" si="1"/>
        <v/>
      </c>
    </row>
    <row r="69" spans="1:23">
      <c r="A69" s="12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5"/>
      <c r="V69" s="16" t="str">
        <f t="shared" si="0"/>
        <v/>
      </c>
      <c r="W69" s="16" t="str">
        <f t="shared" si="1"/>
        <v/>
      </c>
    </row>
    <row r="70" spans="1:23">
      <c r="A70" s="12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16" t="str">
        <f t="shared" si="0"/>
        <v/>
      </c>
      <c r="W70" s="16" t="str">
        <f t="shared" si="1"/>
        <v/>
      </c>
    </row>
    <row r="71" spans="1:23">
      <c r="A71" s="12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5"/>
      <c r="V71" s="16" t="str">
        <f t="shared" ref="V71:V134" si="2">IF(COUNTA($A71:$U71)=0,"",SUM($C71:$G71)-SUM($H71:$I71)-$J71+$K71-$L71-$M71+SUM($N71:$Q71))</f>
        <v/>
      </c>
      <c r="W71" s="16" t="str">
        <f t="shared" ref="W71:W134" si="3">IF(COUNTA($A71:$U71)=0,"",$C71-SUM($R71:$T71))</f>
        <v/>
      </c>
    </row>
    <row r="72" spans="1:23">
      <c r="A72" s="12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5"/>
      <c r="V72" s="16" t="str">
        <f t="shared" si="2"/>
        <v/>
      </c>
      <c r="W72" s="16" t="str">
        <f t="shared" si="3"/>
        <v/>
      </c>
    </row>
    <row r="73" spans="1:23">
      <c r="A73" s="12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16" t="str">
        <f t="shared" si="2"/>
        <v/>
      </c>
      <c r="W73" s="16" t="str">
        <f t="shared" si="3"/>
        <v/>
      </c>
    </row>
    <row r="74" spans="1:23">
      <c r="A74" s="12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16" t="str">
        <f t="shared" si="2"/>
        <v/>
      </c>
      <c r="W74" s="16" t="str">
        <f t="shared" si="3"/>
        <v/>
      </c>
    </row>
    <row r="75" spans="1:23">
      <c r="A75" s="12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16" t="str">
        <f t="shared" si="2"/>
        <v/>
      </c>
      <c r="W75" s="16" t="str">
        <f t="shared" si="3"/>
        <v/>
      </c>
    </row>
    <row r="76" spans="1:23">
      <c r="A76" s="12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16" t="str">
        <f t="shared" si="2"/>
        <v/>
      </c>
      <c r="W76" s="16" t="str">
        <f t="shared" si="3"/>
        <v/>
      </c>
    </row>
    <row r="77" spans="1:23">
      <c r="A77" s="12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  <c r="V77" s="16" t="str">
        <f t="shared" si="2"/>
        <v/>
      </c>
      <c r="W77" s="16" t="str">
        <f t="shared" si="3"/>
        <v/>
      </c>
    </row>
    <row r="78" spans="1:23">
      <c r="A78" s="12"/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16" t="str">
        <f t="shared" si="2"/>
        <v/>
      </c>
      <c r="W78" s="16" t="str">
        <f t="shared" si="3"/>
        <v/>
      </c>
    </row>
    <row r="79" spans="1:23">
      <c r="A79" s="12"/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5"/>
      <c r="V79" s="16" t="str">
        <f t="shared" si="2"/>
        <v/>
      </c>
      <c r="W79" s="16" t="str">
        <f t="shared" si="3"/>
        <v/>
      </c>
    </row>
    <row r="80" spans="1:23">
      <c r="A80" s="12"/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16" t="str">
        <f t="shared" si="2"/>
        <v/>
      </c>
      <c r="W80" s="16" t="str">
        <f t="shared" si="3"/>
        <v/>
      </c>
    </row>
    <row r="81" spans="1:23">
      <c r="A81" s="12"/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5"/>
      <c r="V81" s="16" t="str">
        <f t="shared" si="2"/>
        <v/>
      </c>
      <c r="W81" s="16" t="str">
        <f t="shared" si="3"/>
        <v/>
      </c>
    </row>
    <row r="82" spans="1:23">
      <c r="A82" s="12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16" t="str">
        <f t="shared" si="2"/>
        <v/>
      </c>
      <c r="W82" s="16" t="str">
        <f t="shared" si="3"/>
        <v/>
      </c>
    </row>
    <row r="83" spans="1:23">
      <c r="A83" s="12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16" t="str">
        <f t="shared" si="2"/>
        <v/>
      </c>
      <c r="W83" s="16" t="str">
        <f t="shared" si="3"/>
        <v/>
      </c>
    </row>
    <row r="84" spans="1:23">
      <c r="A84" s="12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16" t="str">
        <f t="shared" si="2"/>
        <v/>
      </c>
      <c r="W84" s="16" t="str">
        <f t="shared" si="3"/>
        <v/>
      </c>
    </row>
    <row r="85" spans="1:23">
      <c r="A85" s="12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16" t="str">
        <f t="shared" si="2"/>
        <v/>
      </c>
      <c r="W85" s="16" t="str">
        <f t="shared" si="3"/>
        <v/>
      </c>
    </row>
    <row r="86" spans="1:23">
      <c r="A86" s="12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5"/>
      <c r="V86" s="16" t="str">
        <f t="shared" si="2"/>
        <v/>
      </c>
      <c r="W86" s="16" t="str">
        <f t="shared" si="3"/>
        <v/>
      </c>
    </row>
    <row r="87" spans="1:23">
      <c r="A87" s="12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5"/>
      <c r="V87" s="16" t="str">
        <f t="shared" si="2"/>
        <v/>
      </c>
      <c r="W87" s="16" t="str">
        <f t="shared" si="3"/>
        <v/>
      </c>
    </row>
    <row r="88" spans="1:23">
      <c r="A88" s="12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16" t="str">
        <f t="shared" si="2"/>
        <v/>
      </c>
      <c r="W88" s="16" t="str">
        <f t="shared" si="3"/>
        <v/>
      </c>
    </row>
    <row r="89" spans="1:23">
      <c r="A89" s="12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5"/>
      <c r="V89" s="16" t="str">
        <f t="shared" si="2"/>
        <v/>
      </c>
      <c r="W89" s="16" t="str">
        <f t="shared" si="3"/>
        <v/>
      </c>
    </row>
    <row r="90" spans="1:23">
      <c r="A90" s="12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16" t="str">
        <f t="shared" si="2"/>
        <v/>
      </c>
      <c r="W90" s="16" t="str">
        <f t="shared" si="3"/>
        <v/>
      </c>
    </row>
    <row r="91" spans="1:23">
      <c r="A91" s="12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16" t="str">
        <f t="shared" si="2"/>
        <v/>
      </c>
      <c r="W91" s="16" t="str">
        <f t="shared" si="3"/>
        <v/>
      </c>
    </row>
    <row r="92" spans="1:23">
      <c r="A92" s="12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5"/>
      <c r="V92" s="16" t="str">
        <f t="shared" si="2"/>
        <v/>
      </c>
      <c r="W92" s="16" t="str">
        <f t="shared" si="3"/>
        <v/>
      </c>
    </row>
    <row r="93" spans="1:23">
      <c r="A93" s="12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16" t="str">
        <f t="shared" si="2"/>
        <v/>
      </c>
      <c r="W93" s="16" t="str">
        <f t="shared" si="3"/>
        <v/>
      </c>
    </row>
    <row r="94" spans="1:23">
      <c r="A94" s="12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5"/>
      <c r="V94" s="16" t="str">
        <f t="shared" si="2"/>
        <v/>
      </c>
      <c r="W94" s="16" t="str">
        <f t="shared" si="3"/>
        <v/>
      </c>
    </row>
    <row r="95" spans="1:23">
      <c r="A95" s="12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16" t="str">
        <f t="shared" si="2"/>
        <v/>
      </c>
      <c r="W95" s="16" t="str">
        <f t="shared" si="3"/>
        <v/>
      </c>
    </row>
    <row r="96" spans="1:23">
      <c r="A96" s="12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16" t="str">
        <f t="shared" si="2"/>
        <v/>
      </c>
      <c r="W96" s="16" t="str">
        <f t="shared" si="3"/>
        <v/>
      </c>
    </row>
    <row r="97" spans="1:23">
      <c r="A97" s="12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5"/>
      <c r="V97" s="16" t="str">
        <f t="shared" si="2"/>
        <v/>
      </c>
      <c r="W97" s="16" t="str">
        <f t="shared" si="3"/>
        <v/>
      </c>
    </row>
    <row r="98" spans="1:23">
      <c r="A98" s="12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16" t="str">
        <f t="shared" si="2"/>
        <v/>
      </c>
      <c r="W98" s="16" t="str">
        <f t="shared" si="3"/>
        <v/>
      </c>
    </row>
    <row r="99" spans="1:23">
      <c r="A99" s="12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5"/>
      <c r="V99" s="16" t="str">
        <f t="shared" si="2"/>
        <v/>
      </c>
      <c r="W99" s="16" t="str">
        <f t="shared" si="3"/>
        <v/>
      </c>
    </row>
    <row r="100" spans="1:23">
      <c r="A100" s="12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16" t="str">
        <f t="shared" si="2"/>
        <v/>
      </c>
      <c r="W100" s="16" t="str">
        <f t="shared" si="3"/>
        <v/>
      </c>
    </row>
    <row r="101" spans="1:23">
      <c r="A101" s="12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/>
      <c r="V101" s="16" t="str">
        <f t="shared" si="2"/>
        <v/>
      </c>
      <c r="W101" s="16" t="str">
        <f t="shared" si="3"/>
        <v/>
      </c>
    </row>
    <row r="102" spans="1:23">
      <c r="A102" s="12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5"/>
      <c r="V102" s="16" t="str">
        <f t="shared" si="2"/>
        <v/>
      </c>
      <c r="W102" s="16" t="str">
        <f t="shared" si="3"/>
        <v/>
      </c>
    </row>
    <row r="103" spans="1:23">
      <c r="A103" s="12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5"/>
      <c r="V103" s="16" t="str">
        <f t="shared" si="2"/>
        <v/>
      </c>
      <c r="W103" s="16" t="str">
        <f t="shared" si="3"/>
        <v/>
      </c>
    </row>
    <row r="104" spans="1:23">
      <c r="A104" s="12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5"/>
      <c r="V104" s="16" t="str">
        <f t="shared" si="2"/>
        <v/>
      </c>
      <c r="W104" s="16" t="str">
        <f t="shared" si="3"/>
        <v/>
      </c>
    </row>
    <row r="105" spans="1:23">
      <c r="A105" s="12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16" t="str">
        <f t="shared" si="2"/>
        <v/>
      </c>
      <c r="W105" s="16" t="str">
        <f t="shared" si="3"/>
        <v/>
      </c>
    </row>
    <row r="106" spans="1:23">
      <c r="A106" s="12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5"/>
      <c r="V106" s="16" t="str">
        <f t="shared" si="2"/>
        <v/>
      </c>
      <c r="W106" s="16" t="str">
        <f t="shared" si="3"/>
        <v/>
      </c>
    </row>
    <row r="107" spans="1:23">
      <c r="A107" s="12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5"/>
      <c r="V107" s="16" t="str">
        <f t="shared" si="2"/>
        <v/>
      </c>
      <c r="W107" s="16" t="str">
        <f t="shared" si="3"/>
        <v/>
      </c>
    </row>
    <row r="108" spans="1:23">
      <c r="A108" s="12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16" t="str">
        <f t="shared" si="2"/>
        <v/>
      </c>
      <c r="W108" s="16" t="str">
        <f t="shared" si="3"/>
        <v/>
      </c>
    </row>
    <row r="109" spans="1:23">
      <c r="A109" s="12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5"/>
      <c r="V109" s="16" t="str">
        <f t="shared" si="2"/>
        <v/>
      </c>
      <c r="W109" s="16" t="str">
        <f t="shared" si="3"/>
        <v/>
      </c>
    </row>
    <row r="110" spans="1:23">
      <c r="A110" s="12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16" t="str">
        <f t="shared" si="2"/>
        <v/>
      </c>
      <c r="W110" s="16" t="str">
        <f t="shared" si="3"/>
        <v/>
      </c>
    </row>
    <row r="111" spans="1:23">
      <c r="A111" s="12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/>
      <c r="V111" s="16" t="str">
        <f t="shared" si="2"/>
        <v/>
      </c>
      <c r="W111" s="16" t="str">
        <f t="shared" si="3"/>
        <v/>
      </c>
    </row>
    <row r="112" spans="1:23">
      <c r="A112" s="12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/>
      <c r="V112" s="16" t="str">
        <f t="shared" si="2"/>
        <v/>
      </c>
      <c r="W112" s="16" t="str">
        <f t="shared" si="3"/>
        <v/>
      </c>
    </row>
    <row r="113" spans="1:23">
      <c r="A113" s="12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/>
      <c r="V113" s="16" t="str">
        <f t="shared" si="2"/>
        <v/>
      </c>
      <c r="W113" s="16" t="str">
        <f t="shared" si="3"/>
        <v/>
      </c>
    </row>
    <row r="114" spans="1:23">
      <c r="A114" s="12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5"/>
      <c r="V114" s="16" t="str">
        <f t="shared" si="2"/>
        <v/>
      </c>
      <c r="W114" s="16" t="str">
        <f t="shared" si="3"/>
        <v/>
      </c>
    </row>
    <row r="115" spans="1:23">
      <c r="A115" s="12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16" t="str">
        <f t="shared" si="2"/>
        <v/>
      </c>
      <c r="W115" s="16" t="str">
        <f t="shared" si="3"/>
        <v/>
      </c>
    </row>
    <row r="116" spans="1:23">
      <c r="A116" s="12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5"/>
      <c r="V116" s="16" t="str">
        <f t="shared" si="2"/>
        <v/>
      </c>
      <c r="W116" s="16" t="str">
        <f t="shared" si="3"/>
        <v/>
      </c>
    </row>
    <row r="117" spans="1:23">
      <c r="A117" s="12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5"/>
      <c r="V117" s="16" t="str">
        <f t="shared" si="2"/>
        <v/>
      </c>
      <c r="W117" s="16" t="str">
        <f t="shared" si="3"/>
        <v/>
      </c>
    </row>
    <row r="118" spans="1:23">
      <c r="A118" s="12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5"/>
      <c r="V118" s="16" t="str">
        <f t="shared" si="2"/>
        <v/>
      </c>
      <c r="W118" s="16" t="str">
        <f t="shared" si="3"/>
        <v/>
      </c>
    </row>
    <row r="119" spans="1:23">
      <c r="A119" s="12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5"/>
      <c r="V119" s="16" t="str">
        <f t="shared" si="2"/>
        <v/>
      </c>
      <c r="W119" s="16" t="str">
        <f t="shared" si="3"/>
        <v/>
      </c>
    </row>
    <row r="120" spans="1:23">
      <c r="A120" s="12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16" t="str">
        <f t="shared" si="2"/>
        <v/>
      </c>
      <c r="W120" s="16" t="str">
        <f t="shared" si="3"/>
        <v/>
      </c>
    </row>
    <row r="121" spans="1:23">
      <c r="A121" s="12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5"/>
      <c r="V121" s="16" t="str">
        <f t="shared" si="2"/>
        <v/>
      </c>
      <c r="W121" s="16" t="str">
        <f t="shared" si="3"/>
        <v/>
      </c>
    </row>
    <row r="122" spans="1:23">
      <c r="A122" s="12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5"/>
      <c r="V122" s="16" t="str">
        <f t="shared" si="2"/>
        <v/>
      </c>
      <c r="W122" s="16" t="str">
        <f t="shared" si="3"/>
        <v/>
      </c>
    </row>
    <row r="123" spans="1:23">
      <c r="A123" s="12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5"/>
      <c r="V123" s="16" t="str">
        <f t="shared" si="2"/>
        <v/>
      </c>
      <c r="W123" s="16" t="str">
        <f t="shared" si="3"/>
        <v/>
      </c>
    </row>
    <row r="124" spans="1:23">
      <c r="A124" s="12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5"/>
      <c r="V124" s="16" t="str">
        <f t="shared" si="2"/>
        <v/>
      </c>
      <c r="W124" s="16" t="str">
        <f t="shared" si="3"/>
        <v/>
      </c>
    </row>
    <row r="125" spans="1:23">
      <c r="A125" s="12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16" t="str">
        <f t="shared" si="2"/>
        <v/>
      </c>
      <c r="W125" s="16" t="str">
        <f t="shared" si="3"/>
        <v/>
      </c>
    </row>
    <row r="126" spans="1:23">
      <c r="A126" s="12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5"/>
      <c r="V126" s="16" t="str">
        <f t="shared" si="2"/>
        <v/>
      </c>
      <c r="W126" s="16" t="str">
        <f t="shared" si="3"/>
        <v/>
      </c>
    </row>
    <row r="127" spans="1:23">
      <c r="A127" s="12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5"/>
      <c r="V127" s="16" t="str">
        <f t="shared" si="2"/>
        <v/>
      </c>
      <c r="W127" s="16" t="str">
        <f t="shared" si="3"/>
        <v/>
      </c>
    </row>
    <row r="128" spans="1:23">
      <c r="A128" s="12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5"/>
      <c r="V128" s="16" t="str">
        <f t="shared" si="2"/>
        <v/>
      </c>
      <c r="W128" s="16" t="str">
        <f t="shared" si="3"/>
        <v/>
      </c>
    </row>
    <row r="129" spans="1:23">
      <c r="A129" s="12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5"/>
      <c r="V129" s="16" t="str">
        <f t="shared" si="2"/>
        <v/>
      </c>
      <c r="W129" s="16" t="str">
        <f t="shared" si="3"/>
        <v/>
      </c>
    </row>
    <row r="130" spans="1:23">
      <c r="A130" s="12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16" t="str">
        <f t="shared" si="2"/>
        <v/>
      </c>
      <c r="W130" s="16" t="str">
        <f t="shared" si="3"/>
        <v/>
      </c>
    </row>
    <row r="131" spans="1:23">
      <c r="A131" s="12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5"/>
      <c r="V131" s="16" t="str">
        <f t="shared" si="2"/>
        <v/>
      </c>
      <c r="W131" s="16" t="str">
        <f t="shared" si="3"/>
        <v/>
      </c>
    </row>
    <row r="132" spans="1:23">
      <c r="A132" s="12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5"/>
      <c r="V132" s="16" t="str">
        <f t="shared" si="2"/>
        <v/>
      </c>
      <c r="W132" s="16" t="str">
        <f t="shared" si="3"/>
        <v/>
      </c>
    </row>
    <row r="133" spans="1:23">
      <c r="A133" s="12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5"/>
      <c r="V133" s="16" t="str">
        <f t="shared" si="2"/>
        <v/>
      </c>
      <c r="W133" s="16" t="str">
        <f t="shared" si="3"/>
        <v/>
      </c>
    </row>
    <row r="134" spans="1:23">
      <c r="A134" s="12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5"/>
      <c r="V134" s="16" t="str">
        <f t="shared" si="2"/>
        <v/>
      </c>
      <c r="W134" s="16" t="str">
        <f t="shared" si="3"/>
        <v/>
      </c>
    </row>
    <row r="135" spans="1:23">
      <c r="A135" s="12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5"/>
      <c r="V135" s="16" t="str">
        <f t="shared" ref="V135:V198" si="4">IF(COUNTA($A135:$U135)=0,"",SUM($C135:$G135)-SUM($H135:$I135)-$J135+$K135-$L135-$M135+SUM($N135:$Q135))</f>
        <v/>
      </c>
      <c r="W135" s="16" t="str">
        <f t="shared" ref="W135:W198" si="5">IF(COUNTA($A135:$U135)=0,"",$C135-SUM($R135:$T135))</f>
        <v/>
      </c>
    </row>
    <row r="136" spans="1:23">
      <c r="A136" s="12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5"/>
      <c r="V136" s="16" t="str">
        <f t="shared" si="4"/>
        <v/>
      </c>
      <c r="W136" s="16" t="str">
        <f t="shared" si="5"/>
        <v/>
      </c>
    </row>
    <row r="137" spans="1:23">
      <c r="A137" s="12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5"/>
      <c r="V137" s="16" t="str">
        <f t="shared" si="4"/>
        <v/>
      </c>
      <c r="W137" s="16" t="str">
        <f t="shared" si="5"/>
        <v/>
      </c>
    </row>
    <row r="138" spans="1:23">
      <c r="A138" s="12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16" t="str">
        <f t="shared" si="4"/>
        <v/>
      </c>
      <c r="W138" s="16" t="str">
        <f t="shared" si="5"/>
        <v/>
      </c>
    </row>
    <row r="139" spans="1:23">
      <c r="A139" s="12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5"/>
      <c r="V139" s="16" t="str">
        <f t="shared" si="4"/>
        <v/>
      </c>
      <c r="W139" s="16" t="str">
        <f t="shared" si="5"/>
        <v/>
      </c>
    </row>
    <row r="140" spans="1:23">
      <c r="A140" s="12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16" t="str">
        <f t="shared" si="4"/>
        <v/>
      </c>
      <c r="W140" s="16" t="str">
        <f t="shared" si="5"/>
        <v/>
      </c>
    </row>
    <row r="141" spans="1:23">
      <c r="A141" s="12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5"/>
      <c r="V141" s="16" t="str">
        <f t="shared" si="4"/>
        <v/>
      </c>
      <c r="W141" s="16" t="str">
        <f t="shared" si="5"/>
        <v/>
      </c>
    </row>
    <row r="142" spans="1:23">
      <c r="A142" s="12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5"/>
      <c r="V142" s="16" t="str">
        <f t="shared" si="4"/>
        <v/>
      </c>
      <c r="W142" s="16" t="str">
        <f t="shared" si="5"/>
        <v/>
      </c>
    </row>
    <row r="143" spans="1:23">
      <c r="A143" s="12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5"/>
      <c r="V143" s="16" t="str">
        <f t="shared" si="4"/>
        <v/>
      </c>
      <c r="W143" s="16" t="str">
        <f t="shared" si="5"/>
        <v/>
      </c>
    </row>
    <row r="144" spans="1:23">
      <c r="A144" s="12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5"/>
      <c r="V144" s="16" t="str">
        <f t="shared" si="4"/>
        <v/>
      </c>
      <c r="W144" s="16" t="str">
        <f t="shared" si="5"/>
        <v/>
      </c>
    </row>
    <row r="145" spans="1:23">
      <c r="A145" s="12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16" t="str">
        <f t="shared" si="4"/>
        <v/>
      </c>
      <c r="W145" s="16" t="str">
        <f t="shared" si="5"/>
        <v/>
      </c>
    </row>
    <row r="146" spans="1:23">
      <c r="A146" s="12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5"/>
      <c r="V146" s="16" t="str">
        <f t="shared" si="4"/>
        <v/>
      </c>
      <c r="W146" s="16" t="str">
        <f t="shared" si="5"/>
        <v/>
      </c>
    </row>
    <row r="147" spans="1:23">
      <c r="A147" s="12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5"/>
      <c r="V147" s="16" t="str">
        <f t="shared" si="4"/>
        <v/>
      </c>
      <c r="W147" s="16" t="str">
        <f t="shared" si="5"/>
        <v/>
      </c>
    </row>
    <row r="148" spans="1:23">
      <c r="A148" s="12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5"/>
      <c r="V148" s="16" t="str">
        <f t="shared" si="4"/>
        <v/>
      </c>
      <c r="W148" s="16" t="str">
        <f t="shared" si="5"/>
        <v/>
      </c>
    </row>
    <row r="149" spans="1:23">
      <c r="A149" s="12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5"/>
      <c r="V149" s="16" t="str">
        <f t="shared" si="4"/>
        <v/>
      </c>
      <c r="W149" s="16" t="str">
        <f t="shared" si="5"/>
        <v/>
      </c>
    </row>
    <row r="150" spans="1:23">
      <c r="A150" s="12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5"/>
      <c r="V150" s="16" t="str">
        <f t="shared" si="4"/>
        <v/>
      </c>
      <c r="W150" s="16" t="str">
        <f t="shared" si="5"/>
        <v/>
      </c>
    </row>
    <row r="151" spans="1:23">
      <c r="A151" s="12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5"/>
      <c r="V151" s="16" t="str">
        <f t="shared" si="4"/>
        <v/>
      </c>
      <c r="W151" s="16" t="str">
        <f t="shared" si="5"/>
        <v/>
      </c>
    </row>
    <row r="152" spans="1:23">
      <c r="A152" s="12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5"/>
      <c r="V152" s="16" t="str">
        <f t="shared" si="4"/>
        <v/>
      </c>
      <c r="W152" s="16" t="str">
        <f t="shared" si="5"/>
        <v/>
      </c>
    </row>
    <row r="153" spans="1:23">
      <c r="A153" s="12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5"/>
      <c r="V153" s="16" t="str">
        <f t="shared" si="4"/>
        <v/>
      </c>
      <c r="W153" s="16" t="str">
        <f t="shared" si="5"/>
        <v/>
      </c>
    </row>
    <row r="154" spans="1:23">
      <c r="A154" s="12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5"/>
      <c r="V154" s="16" t="str">
        <f t="shared" si="4"/>
        <v/>
      </c>
      <c r="W154" s="16" t="str">
        <f t="shared" si="5"/>
        <v/>
      </c>
    </row>
    <row r="155" spans="1:23">
      <c r="A155" s="12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5"/>
      <c r="V155" s="16" t="str">
        <f t="shared" si="4"/>
        <v/>
      </c>
      <c r="W155" s="16" t="str">
        <f t="shared" si="5"/>
        <v/>
      </c>
    </row>
    <row r="156" spans="1:23">
      <c r="A156" s="12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5"/>
      <c r="V156" s="16" t="str">
        <f t="shared" si="4"/>
        <v/>
      </c>
      <c r="W156" s="16" t="str">
        <f t="shared" si="5"/>
        <v/>
      </c>
    </row>
    <row r="157" spans="1:23">
      <c r="A157" s="12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5"/>
      <c r="V157" s="16" t="str">
        <f t="shared" si="4"/>
        <v/>
      </c>
      <c r="W157" s="16" t="str">
        <f t="shared" si="5"/>
        <v/>
      </c>
    </row>
    <row r="158" spans="1:23">
      <c r="A158" s="12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5"/>
      <c r="V158" s="16" t="str">
        <f t="shared" si="4"/>
        <v/>
      </c>
      <c r="W158" s="16" t="str">
        <f t="shared" si="5"/>
        <v/>
      </c>
    </row>
    <row r="159" spans="1:23">
      <c r="A159" s="12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5"/>
      <c r="V159" s="16" t="str">
        <f t="shared" si="4"/>
        <v/>
      </c>
      <c r="W159" s="16" t="str">
        <f t="shared" si="5"/>
        <v/>
      </c>
    </row>
    <row r="160" spans="1:23">
      <c r="A160" s="12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5"/>
      <c r="V160" s="16" t="str">
        <f t="shared" si="4"/>
        <v/>
      </c>
      <c r="W160" s="16" t="str">
        <f t="shared" si="5"/>
        <v/>
      </c>
    </row>
    <row r="161" spans="1:23">
      <c r="A161" s="12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5"/>
      <c r="V161" s="16" t="str">
        <f t="shared" si="4"/>
        <v/>
      </c>
      <c r="W161" s="16" t="str">
        <f t="shared" si="5"/>
        <v/>
      </c>
    </row>
    <row r="162" spans="1:23">
      <c r="A162" s="12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5"/>
      <c r="V162" s="16" t="str">
        <f t="shared" si="4"/>
        <v/>
      </c>
      <c r="W162" s="16" t="str">
        <f t="shared" si="5"/>
        <v/>
      </c>
    </row>
    <row r="163" spans="1:23">
      <c r="A163" s="12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5"/>
      <c r="V163" s="16" t="str">
        <f t="shared" si="4"/>
        <v/>
      </c>
      <c r="W163" s="16" t="str">
        <f t="shared" si="5"/>
        <v/>
      </c>
    </row>
    <row r="164" spans="1:23">
      <c r="A164" s="12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5"/>
      <c r="V164" s="16" t="str">
        <f t="shared" si="4"/>
        <v/>
      </c>
      <c r="W164" s="16" t="str">
        <f t="shared" si="5"/>
        <v/>
      </c>
    </row>
    <row r="165" spans="1:23">
      <c r="A165" s="12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5"/>
      <c r="V165" s="16" t="str">
        <f t="shared" si="4"/>
        <v/>
      </c>
      <c r="W165" s="16" t="str">
        <f t="shared" si="5"/>
        <v/>
      </c>
    </row>
    <row r="166" spans="1:23">
      <c r="A166" s="12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5"/>
      <c r="V166" s="16" t="str">
        <f t="shared" si="4"/>
        <v/>
      </c>
      <c r="W166" s="16" t="str">
        <f t="shared" si="5"/>
        <v/>
      </c>
    </row>
    <row r="167" spans="1:23">
      <c r="A167" s="12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5"/>
      <c r="V167" s="16" t="str">
        <f t="shared" si="4"/>
        <v/>
      </c>
      <c r="W167" s="16" t="str">
        <f t="shared" si="5"/>
        <v/>
      </c>
    </row>
    <row r="168" spans="1:23">
      <c r="A168" s="12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5"/>
      <c r="V168" s="16" t="str">
        <f t="shared" si="4"/>
        <v/>
      </c>
      <c r="W168" s="16" t="str">
        <f t="shared" si="5"/>
        <v/>
      </c>
    </row>
    <row r="169" spans="1:23">
      <c r="A169" s="12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5"/>
      <c r="V169" s="16" t="str">
        <f t="shared" si="4"/>
        <v/>
      </c>
      <c r="W169" s="16" t="str">
        <f t="shared" si="5"/>
        <v/>
      </c>
    </row>
    <row r="170" spans="1:23">
      <c r="A170" s="12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/>
      <c r="V170" s="16" t="str">
        <f t="shared" si="4"/>
        <v/>
      </c>
      <c r="W170" s="16" t="str">
        <f t="shared" si="5"/>
        <v/>
      </c>
    </row>
    <row r="171" spans="1:23">
      <c r="A171" s="12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5"/>
      <c r="V171" s="16" t="str">
        <f t="shared" si="4"/>
        <v/>
      </c>
      <c r="W171" s="16" t="str">
        <f t="shared" si="5"/>
        <v/>
      </c>
    </row>
    <row r="172" spans="1:23">
      <c r="A172" s="12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5"/>
      <c r="V172" s="16" t="str">
        <f t="shared" si="4"/>
        <v/>
      </c>
      <c r="W172" s="16" t="str">
        <f t="shared" si="5"/>
        <v/>
      </c>
    </row>
    <row r="173" spans="1:23">
      <c r="A173" s="12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5"/>
      <c r="V173" s="16" t="str">
        <f t="shared" si="4"/>
        <v/>
      </c>
      <c r="W173" s="16" t="str">
        <f t="shared" si="5"/>
        <v/>
      </c>
    </row>
    <row r="174" spans="1:23">
      <c r="A174" s="12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5"/>
      <c r="V174" s="16" t="str">
        <f t="shared" si="4"/>
        <v/>
      </c>
      <c r="W174" s="16" t="str">
        <f t="shared" si="5"/>
        <v/>
      </c>
    </row>
    <row r="175" spans="1:23">
      <c r="A175" s="12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5"/>
      <c r="V175" s="16" t="str">
        <f t="shared" si="4"/>
        <v/>
      </c>
      <c r="W175" s="16" t="str">
        <f t="shared" si="5"/>
        <v/>
      </c>
    </row>
    <row r="176" spans="1:23">
      <c r="A176" s="12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5"/>
      <c r="V176" s="16" t="str">
        <f t="shared" si="4"/>
        <v/>
      </c>
      <c r="W176" s="16" t="str">
        <f t="shared" si="5"/>
        <v/>
      </c>
    </row>
    <row r="177" spans="1:23">
      <c r="A177" s="12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5"/>
      <c r="V177" s="16" t="str">
        <f t="shared" si="4"/>
        <v/>
      </c>
      <c r="W177" s="16" t="str">
        <f t="shared" si="5"/>
        <v/>
      </c>
    </row>
    <row r="178" spans="1:23">
      <c r="A178" s="12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5"/>
      <c r="V178" s="16" t="str">
        <f t="shared" si="4"/>
        <v/>
      </c>
      <c r="W178" s="16" t="str">
        <f t="shared" si="5"/>
        <v/>
      </c>
    </row>
    <row r="179" spans="1:23">
      <c r="A179" s="12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5"/>
      <c r="V179" s="16" t="str">
        <f t="shared" si="4"/>
        <v/>
      </c>
      <c r="W179" s="16" t="str">
        <f t="shared" si="5"/>
        <v/>
      </c>
    </row>
    <row r="180" spans="1:23">
      <c r="A180" s="12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16" t="str">
        <f t="shared" si="4"/>
        <v/>
      </c>
      <c r="W180" s="16" t="str">
        <f t="shared" si="5"/>
        <v/>
      </c>
    </row>
    <row r="181" spans="1:23">
      <c r="A181" s="12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5"/>
      <c r="V181" s="16" t="str">
        <f t="shared" si="4"/>
        <v/>
      </c>
      <c r="W181" s="16" t="str">
        <f t="shared" si="5"/>
        <v/>
      </c>
    </row>
    <row r="182" spans="1:23">
      <c r="A182" s="12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5"/>
      <c r="V182" s="16" t="str">
        <f t="shared" si="4"/>
        <v/>
      </c>
      <c r="W182" s="16" t="str">
        <f t="shared" si="5"/>
        <v/>
      </c>
    </row>
    <row r="183" spans="1:23">
      <c r="A183" s="12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5"/>
      <c r="V183" s="16" t="str">
        <f t="shared" si="4"/>
        <v/>
      </c>
      <c r="W183" s="16" t="str">
        <f t="shared" si="5"/>
        <v/>
      </c>
    </row>
    <row r="184" spans="1:23">
      <c r="A184" s="12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5"/>
      <c r="V184" s="16" t="str">
        <f t="shared" si="4"/>
        <v/>
      </c>
      <c r="W184" s="16" t="str">
        <f t="shared" si="5"/>
        <v/>
      </c>
    </row>
    <row r="185" spans="1:23">
      <c r="A185" s="12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5"/>
      <c r="V185" s="16" t="str">
        <f t="shared" si="4"/>
        <v/>
      </c>
      <c r="W185" s="16" t="str">
        <f t="shared" si="5"/>
        <v/>
      </c>
    </row>
    <row r="186" spans="1:23">
      <c r="A186" s="12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5"/>
      <c r="V186" s="16" t="str">
        <f t="shared" si="4"/>
        <v/>
      </c>
      <c r="W186" s="16" t="str">
        <f t="shared" si="5"/>
        <v/>
      </c>
    </row>
    <row r="187" spans="1:23">
      <c r="A187" s="12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5"/>
      <c r="V187" s="16" t="str">
        <f t="shared" si="4"/>
        <v/>
      </c>
      <c r="W187" s="16" t="str">
        <f t="shared" si="5"/>
        <v/>
      </c>
    </row>
    <row r="188" spans="1:23">
      <c r="A188" s="12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5"/>
      <c r="V188" s="16" t="str">
        <f t="shared" si="4"/>
        <v/>
      </c>
      <c r="W188" s="16" t="str">
        <f t="shared" si="5"/>
        <v/>
      </c>
    </row>
    <row r="189" spans="1:23">
      <c r="A189" s="12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5"/>
      <c r="V189" s="16" t="str">
        <f t="shared" si="4"/>
        <v/>
      </c>
      <c r="W189" s="16" t="str">
        <f t="shared" si="5"/>
        <v/>
      </c>
    </row>
    <row r="190" spans="1:23">
      <c r="A190" s="12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5"/>
      <c r="V190" s="16" t="str">
        <f t="shared" si="4"/>
        <v/>
      </c>
      <c r="W190" s="16" t="str">
        <f t="shared" si="5"/>
        <v/>
      </c>
    </row>
    <row r="191" spans="1:23">
      <c r="A191" s="12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5"/>
      <c r="V191" s="16" t="str">
        <f t="shared" si="4"/>
        <v/>
      </c>
      <c r="W191" s="16" t="str">
        <f t="shared" si="5"/>
        <v/>
      </c>
    </row>
    <row r="192" spans="1:23">
      <c r="A192" s="12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5"/>
      <c r="V192" s="16" t="str">
        <f t="shared" si="4"/>
        <v/>
      </c>
      <c r="W192" s="16" t="str">
        <f t="shared" si="5"/>
        <v/>
      </c>
    </row>
    <row r="193" spans="1:23">
      <c r="A193" s="12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5"/>
      <c r="V193" s="16" t="str">
        <f t="shared" si="4"/>
        <v/>
      </c>
      <c r="W193" s="16" t="str">
        <f t="shared" si="5"/>
        <v/>
      </c>
    </row>
    <row r="194" spans="1:23">
      <c r="A194" s="12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5"/>
      <c r="V194" s="16" t="str">
        <f t="shared" si="4"/>
        <v/>
      </c>
      <c r="W194" s="16" t="str">
        <f t="shared" si="5"/>
        <v/>
      </c>
    </row>
    <row r="195" spans="1:23">
      <c r="A195" s="12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5"/>
      <c r="V195" s="16" t="str">
        <f t="shared" si="4"/>
        <v/>
      </c>
      <c r="W195" s="16" t="str">
        <f t="shared" si="5"/>
        <v/>
      </c>
    </row>
    <row r="196" spans="1:23">
      <c r="A196" s="12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5"/>
      <c r="V196" s="16" t="str">
        <f t="shared" si="4"/>
        <v/>
      </c>
      <c r="W196" s="16" t="str">
        <f t="shared" si="5"/>
        <v/>
      </c>
    </row>
    <row r="197" spans="1:23">
      <c r="A197" s="12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5"/>
      <c r="V197" s="16" t="str">
        <f t="shared" si="4"/>
        <v/>
      </c>
      <c r="W197" s="16" t="str">
        <f t="shared" si="5"/>
        <v/>
      </c>
    </row>
    <row r="198" spans="1:23">
      <c r="A198" s="12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16" t="str">
        <f t="shared" si="4"/>
        <v/>
      </c>
      <c r="W198" s="16" t="str">
        <f t="shared" si="5"/>
        <v/>
      </c>
    </row>
    <row r="199" spans="1:23">
      <c r="A199" s="12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5"/>
      <c r="V199" s="16" t="str">
        <f t="shared" ref="V199:V262" si="6">IF(COUNTA($A199:$U199)=0,"",SUM($C199:$G199)-SUM($H199:$I199)-$J199+$K199-$L199-$M199+SUM($N199:$Q199))</f>
        <v/>
      </c>
      <c r="W199" s="16" t="str">
        <f t="shared" ref="W199:W262" si="7">IF(COUNTA($A199:$U199)=0,"",$C199-SUM($R199:$T199))</f>
        <v/>
      </c>
    </row>
    <row r="200" spans="1:23">
      <c r="A200" s="12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5"/>
      <c r="V200" s="16" t="str">
        <f t="shared" si="6"/>
        <v/>
      </c>
      <c r="W200" s="16" t="str">
        <f t="shared" si="7"/>
        <v/>
      </c>
    </row>
    <row r="201" spans="1:23">
      <c r="A201" s="12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5"/>
      <c r="V201" s="16" t="str">
        <f t="shared" si="6"/>
        <v/>
      </c>
      <c r="W201" s="16" t="str">
        <f t="shared" si="7"/>
        <v/>
      </c>
    </row>
    <row r="202" spans="1:23">
      <c r="A202" s="12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5"/>
      <c r="V202" s="16" t="str">
        <f t="shared" si="6"/>
        <v/>
      </c>
      <c r="W202" s="16" t="str">
        <f t="shared" si="7"/>
        <v/>
      </c>
    </row>
    <row r="203" spans="1:23">
      <c r="A203" s="12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5"/>
      <c r="V203" s="16" t="str">
        <f t="shared" si="6"/>
        <v/>
      </c>
      <c r="W203" s="16" t="str">
        <f t="shared" si="7"/>
        <v/>
      </c>
    </row>
    <row r="204" spans="1:23">
      <c r="A204" s="12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5"/>
      <c r="V204" s="16" t="str">
        <f t="shared" si="6"/>
        <v/>
      </c>
      <c r="W204" s="16" t="str">
        <f t="shared" si="7"/>
        <v/>
      </c>
    </row>
    <row r="205" spans="1:23">
      <c r="A205" s="12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5"/>
      <c r="V205" s="16" t="str">
        <f t="shared" si="6"/>
        <v/>
      </c>
      <c r="W205" s="16" t="str">
        <f t="shared" si="7"/>
        <v/>
      </c>
    </row>
    <row r="206" spans="1:23">
      <c r="A206" s="12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5"/>
      <c r="V206" s="16" t="str">
        <f t="shared" si="6"/>
        <v/>
      </c>
      <c r="W206" s="16" t="str">
        <f t="shared" si="7"/>
        <v/>
      </c>
    </row>
    <row r="207" spans="1:23">
      <c r="A207" s="12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5"/>
      <c r="V207" s="16" t="str">
        <f t="shared" si="6"/>
        <v/>
      </c>
      <c r="W207" s="16" t="str">
        <f t="shared" si="7"/>
        <v/>
      </c>
    </row>
    <row r="208" spans="1:23">
      <c r="A208" s="12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5"/>
      <c r="V208" s="16" t="str">
        <f t="shared" si="6"/>
        <v/>
      </c>
      <c r="W208" s="16" t="str">
        <f t="shared" si="7"/>
        <v/>
      </c>
    </row>
    <row r="209" spans="1:23">
      <c r="A209" s="12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5"/>
      <c r="V209" s="16" t="str">
        <f t="shared" si="6"/>
        <v/>
      </c>
      <c r="W209" s="16" t="str">
        <f t="shared" si="7"/>
        <v/>
      </c>
    </row>
    <row r="210" spans="1:23">
      <c r="A210" s="12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5"/>
      <c r="V210" s="16" t="str">
        <f t="shared" si="6"/>
        <v/>
      </c>
      <c r="W210" s="16" t="str">
        <f t="shared" si="7"/>
        <v/>
      </c>
    </row>
    <row r="211" spans="1:23">
      <c r="A211" s="12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5"/>
      <c r="V211" s="16" t="str">
        <f t="shared" si="6"/>
        <v/>
      </c>
      <c r="W211" s="16" t="str">
        <f t="shared" si="7"/>
        <v/>
      </c>
    </row>
    <row r="212" spans="1:23">
      <c r="A212" s="12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5"/>
      <c r="V212" s="16" t="str">
        <f t="shared" si="6"/>
        <v/>
      </c>
      <c r="W212" s="16" t="str">
        <f t="shared" si="7"/>
        <v/>
      </c>
    </row>
    <row r="213" spans="1:23">
      <c r="A213" s="12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5"/>
      <c r="V213" s="16" t="str">
        <f t="shared" si="6"/>
        <v/>
      </c>
      <c r="W213" s="16" t="str">
        <f t="shared" si="7"/>
        <v/>
      </c>
    </row>
    <row r="214" spans="1:23">
      <c r="A214" s="12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5"/>
      <c r="V214" s="16" t="str">
        <f t="shared" si="6"/>
        <v/>
      </c>
      <c r="W214" s="16" t="str">
        <f t="shared" si="7"/>
        <v/>
      </c>
    </row>
    <row r="215" spans="1:23">
      <c r="A215" s="12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5"/>
      <c r="V215" s="16" t="str">
        <f t="shared" si="6"/>
        <v/>
      </c>
      <c r="W215" s="16" t="str">
        <f t="shared" si="7"/>
        <v/>
      </c>
    </row>
    <row r="216" spans="1:23">
      <c r="A216" s="12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5"/>
      <c r="V216" s="16" t="str">
        <f t="shared" si="6"/>
        <v/>
      </c>
      <c r="W216" s="16" t="str">
        <f t="shared" si="7"/>
        <v/>
      </c>
    </row>
    <row r="217" spans="1:23">
      <c r="A217" s="12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5"/>
      <c r="V217" s="16" t="str">
        <f t="shared" si="6"/>
        <v/>
      </c>
      <c r="W217" s="16" t="str">
        <f t="shared" si="7"/>
        <v/>
      </c>
    </row>
    <row r="218" spans="1:23">
      <c r="A218" s="12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5"/>
      <c r="V218" s="16" t="str">
        <f t="shared" si="6"/>
        <v/>
      </c>
      <c r="W218" s="16" t="str">
        <f t="shared" si="7"/>
        <v/>
      </c>
    </row>
    <row r="219" spans="1:23">
      <c r="A219" s="12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5"/>
      <c r="V219" s="16" t="str">
        <f t="shared" si="6"/>
        <v/>
      </c>
      <c r="W219" s="16" t="str">
        <f t="shared" si="7"/>
        <v/>
      </c>
    </row>
    <row r="220" spans="1:23">
      <c r="A220" s="12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16" t="str">
        <f t="shared" si="6"/>
        <v/>
      </c>
      <c r="W220" s="16" t="str">
        <f t="shared" si="7"/>
        <v/>
      </c>
    </row>
    <row r="221" spans="1:23">
      <c r="A221" s="12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5"/>
      <c r="V221" s="16" t="str">
        <f t="shared" si="6"/>
        <v/>
      </c>
      <c r="W221" s="16" t="str">
        <f t="shared" si="7"/>
        <v/>
      </c>
    </row>
    <row r="222" spans="1:23">
      <c r="A222" s="12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5"/>
      <c r="V222" s="16" t="str">
        <f t="shared" si="6"/>
        <v/>
      </c>
      <c r="W222" s="16" t="str">
        <f t="shared" si="7"/>
        <v/>
      </c>
    </row>
    <row r="223" spans="1:23">
      <c r="A223" s="12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5"/>
      <c r="V223" s="16" t="str">
        <f t="shared" si="6"/>
        <v/>
      </c>
      <c r="W223" s="16" t="str">
        <f t="shared" si="7"/>
        <v/>
      </c>
    </row>
    <row r="224" spans="1:23">
      <c r="A224" s="12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16" t="str">
        <f t="shared" si="6"/>
        <v/>
      </c>
      <c r="W224" s="16" t="str">
        <f t="shared" si="7"/>
        <v/>
      </c>
    </row>
    <row r="225" spans="1:23">
      <c r="A225" s="12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5"/>
      <c r="V225" s="16" t="str">
        <f t="shared" si="6"/>
        <v/>
      </c>
      <c r="W225" s="16" t="str">
        <f t="shared" si="7"/>
        <v/>
      </c>
    </row>
    <row r="226" spans="1:23">
      <c r="A226" s="12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5"/>
      <c r="V226" s="16" t="str">
        <f t="shared" si="6"/>
        <v/>
      </c>
      <c r="W226" s="16" t="str">
        <f t="shared" si="7"/>
        <v/>
      </c>
    </row>
    <row r="227" spans="1:23">
      <c r="A227" s="12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5"/>
      <c r="V227" s="16" t="str">
        <f t="shared" si="6"/>
        <v/>
      </c>
      <c r="W227" s="16" t="str">
        <f t="shared" si="7"/>
        <v/>
      </c>
    </row>
    <row r="228" spans="1:23">
      <c r="A228" s="12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5"/>
      <c r="V228" s="16" t="str">
        <f t="shared" si="6"/>
        <v/>
      </c>
      <c r="W228" s="16" t="str">
        <f t="shared" si="7"/>
        <v/>
      </c>
    </row>
    <row r="229" spans="1:23">
      <c r="A229" s="12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5"/>
      <c r="V229" s="16" t="str">
        <f t="shared" si="6"/>
        <v/>
      </c>
      <c r="W229" s="16" t="str">
        <f t="shared" si="7"/>
        <v/>
      </c>
    </row>
    <row r="230" spans="1:23">
      <c r="A230" s="12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16" t="str">
        <f t="shared" si="6"/>
        <v/>
      </c>
      <c r="W230" s="16" t="str">
        <f t="shared" si="7"/>
        <v/>
      </c>
    </row>
    <row r="231" spans="1:23">
      <c r="A231" s="12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5"/>
      <c r="V231" s="16" t="str">
        <f t="shared" si="6"/>
        <v/>
      </c>
      <c r="W231" s="16" t="str">
        <f t="shared" si="7"/>
        <v/>
      </c>
    </row>
    <row r="232" spans="1:23">
      <c r="A232" s="12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5"/>
      <c r="V232" s="16" t="str">
        <f t="shared" si="6"/>
        <v/>
      </c>
      <c r="W232" s="16" t="str">
        <f t="shared" si="7"/>
        <v/>
      </c>
    </row>
    <row r="233" spans="1:23">
      <c r="A233" s="12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5"/>
      <c r="V233" s="16" t="str">
        <f t="shared" si="6"/>
        <v/>
      </c>
      <c r="W233" s="16" t="str">
        <f t="shared" si="7"/>
        <v/>
      </c>
    </row>
    <row r="234" spans="1:23">
      <c r="A234" s="12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5"/>
      <c r="V234" s="16" t="str">
        <f t="shared" si="6"/>
        <v/>
      </c>
      <c r="W234" s="16" t="str">
        <f t="shared" si="7"/>
        <v/>
      </c>
    </row>
    <row r="235" spans="1:23">
      <c r="A235" s="12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5"/>
      <c r="V235" s="16" t="str">
        <f t="shared" si="6"/>
        <v/>
      </c>
      <c r="W235" s="16" t="str">
        <f t="shared" si="7"/>
        <v/>
      </c>
    </row>
    <row r="236" spans="1:23">
      <c r="A236" s="12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5"/>
      <c r="V236" s="16" t="str">
        <f t="shared" si="6"/>
        <v/>
      </c>
      <c r="W236" s="16" t="str">
        <f t="shared" si="7"/>
        <v/>
      </c>
    </row>
    <row r="237" spans="1:23">
      <c r="A237" s="12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5"/>
      <c r="V237" s="16" t="str">
        <f t="shared" si="6"/>
        <v/>
      </c>
      <c r="W237" s="16" t="str">
        <f t="shared" si="7"/>
        <v/>
      </c>
    </row>
    <row r="238" spans="1:23">
      <c r="A238" s="12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16" t="str">
        <f t="shared" si="6"/>
        <v/>
      </c>
      <c r="W238" s="16" t="str">
        <f t="shared" si="7"/>
        <v/>
      </c>
    </row>
    <row r="239" spans="1:23">
      <c r="A239" s="12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5"/>
      <c r="V239" s="16" t="str">
        <f t="shared" si="6"/>
        <v/>
      </c>
      <c r="W239" s="16" t="str">
        <f t="shared" si="7"/>
        <v/>
      </c>
    </row>
    <row r="240" spans="1:23">
      <c r="A240" s="12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5"/>
      <c r="V240" s="16" t="str">
        <f t="shared" si="6"/>
        <v/>
      </c>
      <c r="W240" s="16" t="str">
        <f t="shared" si="7"/>
        <v/>
      </c>
    </row>
    <row r="241" spans="1:23">
      <c r="A241" s="12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5"/>
      <c r="V241" s="16" t="str">
        <f t="shared" si="6"/>
        <v/>
      </c>
      <c r="W241" s="16" t="str">
        <f t="shared" si="7"/>
        <v/>
      </c>
    </row>
    <row r="242" spans="1:23">
      <c r="A242" s="12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5"/>
      <c r="V242" s="16" t="str">
        <f t="shared" si="6"/>
        <v/>
      </c>
      <c r="W242" s="16" t="str">
        <f t="shared" si="7"/>
        <v/>
      </c>
    </row>
    <row r="243" spans="1:23">
      <c r="A243" s="12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16" t="str">
        <f t="shared" si="6"/>
        <v/>
      </c>
      <c r="W243" s="16" t="str">
        <f t="shared" si="7"/>
        <v/>
      </c>
    </row>
    <row r="244" spans="1:23">
      <c r="A244" s="12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5"/>
      <c r="V244" s="16" t="str">
        <f t="shared" si="6"/>
        <v/>
      </c>
      <c r="W244" s="16" t="str">
        <f t="shared" si="7"/>
        <v/>
      </c>
    </row>
    <row r="245" spans="1:23">
      <c r="A245" s="12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5"/>
      <c r="V245" s="16" t="str">
        <f t="shared" si="6"/>
        <v/>
      </c>
      <c r="W245" s="16" t="str">
        <f t="shared" si="7"/>
        <v/>
      </c>
    </row>
    <row r="246" spans="1:23">
      <c r="A246" s="12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5"/>
      <c r="V246" s="16" t="str">
        <f t="shared" si="6"/>
        <v/>
      </c>
      <c r="W246" s="16" t="str">
        <f t="shared" si="7"/>
        <v/>
      </c>
    </row>
    <row r="247" spans="1:23">
      <c r="A247" s="12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5"/>
      <c r="V247" s="16" t="str">
        <f t="shared" si="6"/>
        <v/>
      </c>
      <c r="W247" s="16" t="str">
        <f t="shared" si="7"/>
        <v/>
      </c>
    </row>
    <row r="248" spans="1:23">
      <c r="A248" s="12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16" t="str">
        <f t="shared" si="6"/>
        <v/>
      </c>
      <c r="W248" s="16" t="str">
        <f t="shared" si="7"/>
        <v/>
      </c>
    </row>
    <row r="249" spans="1:23">
      <c r="A249" s="12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5"/>
      <c r="V249" s="16" t="str">
        <f t="shared" si="6"/>
        <v/>
      </c>
      <c r="W249" s="16" t="str">
        <f t="shared" si="7"/>
        <v/>
      </c>
    </row>
    <row r="250" spans="1:23">
      <c r="A250" s="12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16" t="str">
        <f t="shared" si="6"/>
        <v/>
      </c>
      <c r="W250" s="16" t="str">
        <f t="shared" si="7"/>
        <v/>
      </c>
    </row>
    <row r="251" spans="1:23">
      <c r="A251" s="12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5"/>
      <c r="V251" s="16" t="str">
        <f t="shared" si="6"/>
        <v/>
      </c>
      <c r="W251" s="16" t="str">
        <f t="shared" si="7"/>
        <v/>
      </c>
    </row>
    <row r="252" spans="1:23">
      <c r="A252" s="12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5"/>
      <c r="V252" s="16" t="str">
        <f t="shared" si="6"/>
        <v/>
      </c>
      <c r="W252" s="16" t="str">
        <f t="shared" si="7"/>
        <v/>
      </c>
    </row>
    <row r="253" spans="1:23">
      <c r="A253" s="12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5"/>
      <c r="V253" s="16" t="str">
        <f t="shared" si="6"/>
        <v/>
      </c>
      <c r="W253" s="16" t="str">
        <f t="shared" si="7"/>
        <v/>
      </c>
    </row>
    <row r="254" spans="1:23">
      <c r="A254" s="12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5"/>
      <c r="V254" s="16" t="str">
        <f t="shared" si="6"/>
        <v/>
      </c>
      <c r="W254" s="16" t="str">
        <f t="shared" si="7"/>
        <v/>
      </c>
    </row>
    <row r="255" spans="1:23">
      <c r="A255" s="12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5"/>
      <c r="V255" s="16" t="str">
        <f t="shared" si="6"/>
        <v/>
      </c>
      <c r="W255" s="16" t="str">
        <f t="shared" si="7"/>
        <v/>
      </c>
    </row>
    <row r="256" spans="1:23">
      <c r="A256" s="12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5"/>
      <c r="V256" s="16" t="str">
        <f t="shared" si="6"/>
        <v/>
      </c>
      <c r="W256" s="16" t="str">
        <f t="shared" si="7"/>
        <v/>
      </c>
    </row>
    <row r="257" spans="1:23">
      <c r="A257" s="12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5"/>
      <c r="V257" s="16" t="str">
        <f t="shared" si="6"/>
        <v/>
      </c>
      <c r="W257" s="16" t="str">
        <f t="shared" si="7"/>
        <v/>
      </c>
    </row>
    <row r="258" spans="1:23">
      <c r="A258" s="12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16" t="str">
        <f t="shared" si="6"/>
        <v/>
      </c>
      <c r="W258" s="16" t="str">
        <f t="shared" si="7"/>
        <v/>
      </c>
    </row>
    <row r="259" spans="1:23">
      <c r="A259" s="12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5"/>
      <c r="V259" s="16" t="str">
        <f t="shared" si="6"/>
        <v/>
      </c>
      <c r="W259" s="16" t="str">
        <f t="shared" si="7"/>
        <v/>
      </c>
    </row>
    <row r="260" spans="1:23">
      <c r="A260" s="12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16" t="str">
        <f t="shared" si="6"/>
        <v/>
      </c>
      <c r="W260" s="16" t="str">
        <f t="shared" si="7"/>
        <v/>
      </c>
    </row>
    <row r="261" spans="1:23">
      <c r="A261" s="12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5"/>
      <c r="V261" s="16" t="str">
        <f t="shared" si="6"/>
        <v/>
      </c>
      <c r="W261" s="16" t="str">
        <f t="shared" si="7"/>
        <v/>
      </c>
    </row>
    <row r="262" spans="1:23">
      <c r="A262" s="12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5"/>
      <c r="V262" s="16" t="str">
        <f t="shared" si="6"/>
        <v/>
      </c>
      <c r="W262" s="16" t="str">
        <f t="shared" si="7"/>
        <v/>
      </c>
    </row>
    <row r="263" spans="1:23">
      <c r="A263" s="12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5"/>
      <c r="V263" s="16" t="str">
        <f t="shared" ref="V263:V326" si="8">IF(COUNTA($A263:$U263)=0,"",SUM($C263:$G263)-SUM($H263:$I263)-$J263+$K263-$L263-$M263+SUM($N263:$Q263))</f>
        <v/>
      </c>
      <c r="W263" s="16" t="str">
        <f t="shared" ref="W263:W326" si="9">IF(COUNTA($A263:$U263)=0,"",$C263-SUM($R263:$T263))</f>
        <v/>
      </c>
    </row>
    <row r="264" spans="1:23">
      <c r="A264" s="12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5"/>
      <c r="V264" s="16" t="str">
        <f t="shared" si="8"/>
        <v/>
      </c>
      <c r="W264" s="16" t="str">
        <f t="shared" si="9"/>
        <v/>
      </c>
    </row>
    <row r="265" spans="1:23">
      <c r="A265" s="12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5"/>
      <c r="V265" s="16" t="str">
        <f t="shared" si="8"/>
        <v/>
      </c>
      <c r="W265" s="16" t="str">
        <f t="shared" si="9"/>
        <v/>
      </c>
    </row>
    <row r="266" spans="1:23">
      <c r="A266" s="12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5"/>
      <c r="V266" s="16" t="str">
        <f t="shared" si="8"/>
        <v/>
      </c>
      <c r="W266" s="16" t="str">
        <f t="shared" si="9"/>
        <v/>
      </c>
    </row>
    <row r="267" spans="1:23">
      <c r="A267" s="12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5"/>
      <c r="V267" s="16" t="str">
        <f t="shared" si="8"/>
        <v/>
      </c>
      <c r="W267" s="16" t="str">
        <f t="shared" si="9"/>
        <v/>
      </c>
    </row>
    <row r="268" spans="1:23">
      <c r="A268" s="12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5"/>
      <c r="V268" s="16" t="str">
        <f t="shared" si="8"/>
        <v/>
      </c>
      <c r="W268" s="16" t="str">
        <f t="shared" si="9"/>
        <v/>
      </c>
    </row>
    <row r="269" spans="1:23">
      <c r="A269" s="12"/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5"/>
      <c r="V269" s="16" t="str">
        <f t="shared" si="8"/>
        <v/>
      </c>
      <c r="W269" s="16" t="str">
        <f t="shared" si="9"/>
        <v/>
      </c>
    </row>
    <row r="270" spans="1:23">
      <c r="A270" s="12"/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5"/>
      <c r="V270" s="16" t="str">
        <f t="shared" si="8"/>
        <v/>
      </c>
      <c r="W270" s="16" t="str">
        <f t="shared" si="9"/>
        <v/>
      </c>
    </row>
    <row r="271" spans="1:23">
      <c r="A271" s="12"/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5"/>
      <c r="V271" s="16" t="str">
        <f t="shared" si="8"/>
        <v/>
      </c>
      <c r="W271" s="16" t="str">
        <f t="shared" si="9"/>
        <v/>
      </c>
    </row>
    <row r="272" spans="1:23">
      <c r="A272" s="12"/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16" t="str">
        <f t="shared" si="8"/>
        <v/>
      </c>
      <c r="W272" s="16" t="str">
        <f t="shared" si="9"/>
        <v/>
      </c>
    </row>
    <row r="273" spans="1:23">
      <c r="A273" s="12"/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16" t="str">
        <f t="shared" si="8"/>
        <v/>
      </c>
      <c r="W273" s="16" t="str">
        <f t="shared" si="9"/>
        <v/>
      </c>
    </row>
    <row r="274" spans="1:23">
      <c r="A274" s="12"/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5"/>
      <c r="V274" s="16" t="str">
        <f t="shared" si="8"/>
        <v/>
      </c>
      <c r="W274" s="16" t="str">
        <f t="shared" si="9"/>
        <v/>
      </c>
    </row>
    <row r="275" spans="1:23">
      <c r="A275" s="12"/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5"/>
      <c r="V275" s="16" t="str">
        <f t="shared" si="8"/>
        <v/>
      </c>
      <c r="W275" s="16" t="str">
        <f t="shared" si="9"/>
        <v/>
      </c>
    </row>
    <row r="276" spans="1:23">
      <c r="A276" s="12"/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5"/>
      <c r="V276" s="16" t="str">
        <f t="shared" si="8"/>
        <v/>
      </c>
      <c r="W276" s="16" t="str">
        <f t="shared" si="9"/>
        <v/>
      </c>
    </row>
    <row r="277" spans="1:23">
      <c r="A277" s="12"/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5"/>
      <c r="V277" s="16" t="str">
        <f t="shared" si="8"/>
        <v/>
      </c>
      <c r="W277" s="16" t="str">
        <f t="shared" si="9"/>
        <v/>
      </c>
    </row>
    <row r="278" spans="1:23">
      <c r="A278" s="12"/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16" t="str">
        <f t="shared" si="8"/>
        <v/>
      </c>
      <c r="W278" s="16" t="str">
        <f t="shared" si="9"/>
        <v/>
      </c>
    </row>
    <row r="279" spans="1:23">
      <c r="A279" s="12"/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5"/>
      <c r="V279" s="16" t="str">
        <f t="shared" si="8"/>
        <v/>
      </c>
      <c r="W279" s="16" t="str">
        <f t="shared" si="9"/>
        <v/>
      </c>
    </row>
    <row r="280" spans="1:23">
      <c r="A280" s="12"/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16" t="str">
        <f t="shared" si="8"/>
        <v/>
      </c>
      <c r="W280" s="16" t="str">
        <f t="shared" si="9"/>
        <v/>
      </c>
    </row>
    <row r="281" spans="1:23">
      <c r="A281" s="12"/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5"/>
      <c r="V281" s="16" t="str">
        <f t="shared" si="8"/>
        <v/>
      </c>
      <c r="W281" s="16" t="str">
        <f t="shared" si="9"/>
        <v/>
      </c>
    </row>
    <row r="282" spans="1:23">
      <c r="A282" s="12"/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16" t="str">
        <f t="shared" si="8"/>
        <v/>
      </c>
      <c r="W282" s="16" t="str">
        <f t="shared" si="9"/>
        <v/>
      </c>
    </row>
    <row r="283" spans="1:23">
      <c r="A283" s="12"/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5"/>
      <c r="V283" s="16" t="str">
        <f t="shared" si="8"/>
        <v/>
      </c>
      <c r="W283" s="16" t="str">
        <f t="shared" si="9"/>
        <v/>
      </c>
    </row>
    <row r="284" spans="1:23">
      <c r="A284" s="12"/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5"/>
      <c r="V284" s="16" t="str">
        <f t="shared" si="8"/>
        <v/>
      </c>
      <c r="W284" s="16" t="str">
        <f t="shared" si="9"/>
        <v/>
      </c>
    </row>
    <row r="285" spans="1:23">
      <c r="A285" s="12"/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/>
      <c r="V285" s="16" t="str">
        <f t="shared" si="8"/>
        <v/>
      </c>
      <c r="W285" s="16" t="str">
        <f t="shared" si="9"/>
        <v/>
      </c>
    </row>
    <row r="286" spans="1:23">
      <c r="A286" s="12"/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16" t="str">
        <f t="shared" si="8"/>
        <v/>
      </c>
      <c r="W286" s="16" t="str">
        <f t="shared" si="9"/>
        <v/>
      </c>
    </row>
    <row r="287" spans="1:23">
      <c r="A287" s="12"/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16" t="str">
        <f t="shared" si="8"/>
        <v/>
      </c>
      <c r="W287" s="16" t="str">
        <f t="shared" si="9"/>
        <v/>
      </c>
    </row>
    <row r="288" spans="1:23">
      <c r="A288" s="12"/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16" t="str">
        <f t="shared" si="8"/>
        <v/>
      </c>
      <c r="W288" s="16" t="str">
        <f t="shared" si="9"/>
        <v/>
      </c>
    </row>
    <row r="289" spans="1:23">
      <c r="A289" s="12"/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16" t="str">
        <f t="shared" si="8"/>
        <v/>
      </c>
      <c r="W289" s="16" t="str">
        <f t="shared" si="9"/>
        <v/>
      </c>
    </row>
    <row r="290" spans="1:23">
      <c r="A290" s="12"/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16" t="str">
        <f t="shared" si="8"/>
        <v/>
      </c>
      <c r="W290" s="16" t="str">
        <f t="shared" si="9"/>
        <v/>
      </c>
    </row>
    <row r="291" spans="1:23">
      <c r="A291" s="12"/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/>
      <c r="V291" s="16" t="str">
        <f t="shared" si="8"/>
        <v/>
      </c>
      <c r="W291" s="16" t="str">
        <f t="shared" si="9"/>
        <v/>
      </c>
    </row>
    <row r="292" spans="1:23">
      <c r="A292" s="12"/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16" t="str">
        <f t="shared" si="8"/>
        <v/>
      </c>
      <c r="W292" s="16" t="str">
        <f t="shared" si="9"/>
        <v/>
      </c>
    </row>
    <row r="293" spans="1:23">
      <c r="A293" s="12"/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16" t="str">
        <f t="shared" si="8"/>
        <v/>
      </c>
      <c r="W293" s="16" t="str">
        <f t="shared" si="9"/>
        <v/>
      </c>
    </row>
    <row r="294" spans="1:23">
      <c r="A294" s="12"/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16" t="str">
        <f t="shared" si="8"/>
        <v/>
      </c>
      <c r="W294" s="16" t="str">
        <f t="shared" si="9"/>
        <v/>
      </c>
    </row>
    <row r="295" spans="1:23">
      <c r="A295" s="12"/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16" t="str">
        <f t="shared" si="8"/>
        <v/>
      </c>
      <c r="W295" s="16" t="str">
        <f t="shared" si="9"/>
        <v/>
      </c>
    </row>
    <row r="296" spans="1:23">
      <c r="A296" s="12"/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16" t="str">
        <f t="shared" si="8"/>
        <v/>
      </c>
      <c r="W296" s="16" t="str">
        <f t="shared" si="9"/>
        <v/>
      </c>
    </row>
    <row r="297" spans="1:23">
      <c r="A297" s="12"/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16" t="str">
        <f t="shared" si="8"/>
        <v/>
      </c>
      <c r="W297" s="16" t="str">
        <f t="shared" si="9"/>
        <v/>
      </c>
    </row>
    <row r="298" spans="1:23">
      <c r="A298" s="12"/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16" t="str">
        <f t="shared" si="8"/>
        <v/>
      </c>
      <c r="W298" s="16" t="str">
        <f t="shared" si="9"/>
        <v/>
      </c>
    </row>
    <row r="299" spans="1:23">
      <c r="A299" s="12"/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16" t="str">
        <f t="shared" si="8"/>
        <v/>
      </c>
      <c r="W299" s="16" t="str">
        <f t="shared" si="9"/>
        <v/>
      </c>
    </row>
    <row r="300" spans="1:23">
      <c r="A300" s="12"/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16" t="str">
        <f t="shared" si="8"/>
        <v/>
      </c>
      <c r="W300" s="16" t="str">
        <f t="shared" si="9"/>
        <v/>
      </c>
    </row>
    <row r="301" spans="1:23">
      <c r="A301" s="12"/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16" t="str">
        <f t="shared" si="8"/>
        <v/>
      </c>
      <c r="W301" s="16" t="str">
        <f t="shared" si="9"/>
        <v/>
      </c>
    </row>
    <row r="302" spans="1:23">
      <c r="A302" s="12"/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16" t="str">
        <f t="shared" si="8"/>
        <v/>
      </c>
      <c r="W302" s="16" t="str">
        <f t="shared" si="9"/>
        <v/>
      </c>
    </row>
    <row r="303" spans="1:23">
      <c r="A303" s="12"/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16" t="str">
        <f t="shared" si="8"/>
        <v/>
      </c>
      <c r="W303" s="16" t="str">
        <f t="shared" si="9"/>
        <v/>
      </c>
    </row>
    <row r="304" spans="1:23">
      <c r="A304" s="12"/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16" t="str">
        <f t="shared" si="8"/>
        <v/>
      </c>
      <c r="W304" s="16" t="str">
        <f t="shared" si="9"/>
        <v/>
      </c>
    </row>
    <row r="305" spans="1:23">
      <c r="A305" s="12"/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16" t="str">
        <f t="shared" si="8"/>
        <v/>
      </c>
      <c r="W305" s="16" t="str">
        <f t="shared" si="9"/>
        <v/>
      </c>
    </row>
    <row r="306" spans="1:23">
      <c r="A306" s="12"/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16" t="str">
        <f t="shared" si="8"/>
        <v/>
      </c>
      <c r="W306" s="16" t="str">
        <f t="shared" si="9"/>
        <v/>
      </c>
    </row>
    <row r="307" spans="1:23">
      <c r="A307" s="12"/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16" t="str">
        <f t="shared" si="8"/>
        <v/>
      </c>
      <c r="W307" s="16" t="str">
        <f t="shared" si="9"/>
        <v/>
      </c>
    </row>
    <row r="308" spans="1:23">
      <c r="A308" s="12"/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16" t="str">
        <f t="shared" si="8"/>
        <v/>
      </c>
      <c r="W308" s="16" t="str">
        <f t="shared" si="9"/>
        <v/>
      </c>
    </row>
    <row r="309" spans="1:23">
      <c r="A309" s="12"/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16" t="str">
        <f t="shared" si="8"/>
        <v/>
      </c>
      <c r="W309" s="16" t="str">
        <f t="shared" si="9"/>
        <v/>
      </c>
    </row>
    <row r="310" spans="1:23">
      <c r="A310" s="12"/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16" t="str">
        <f t="shared" si="8"/>
        <v/>
      </c>
      <c r="W310" s="16" t="str">
        <f t="shared" si="9"/>
        <v/>
      </c>
    </row>
    <row r="311" spans="1:23">
      <c r="A311" s="12"/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5"/>
      <c r="V311" s="16" t="str">
        <f t="shared" si="8"/>
        <v/>
      </c>
      <c r="W311" s="16" t="str">
        <f t="shared" si="9"/>
        <v/>
      </c>
    </row>
    <row r="312" spans="1:23">
      <c r="A312" s="12"/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16" t="str">
        <f t="shared" si="8"/>
        <v/>
      </c>
      <c r="W312" s="16" t="str">
        <f t="shared" si="9"/>
        <v/>
      </c>
    </row>
    <row r="313" spans="1:23">
      <c r="A313" s="12"/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16" t="str">
        <f t="shared" si="8"/>
        <v/>
      </c>
      <c r="W313" s="16" t="str">
        <f t="shared" si="9"/>
        <v/>
      </c>
    </row>
    <row r="314" spans="1:23">
      <c r="A314" s="12"/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16" t="str">
        <f t="shared" si="8"/>
        <v/>
      </c>
      <c r="W314" s="16" t="str">
        <f t="shared" si="9"/>
        <v/>
      </c>
    </row>
    <row r="315" spans="1:23">
      <c r="A315" s="12"/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16" t="str">
        <f t="shared" si="8"/>
        <v/>
      </c>
      <c r="W315" s="16" t="str">
        <f t="shared" si="9"/>
        <v/>
      </c>
    </row>
    <row r="316" spans="1:23">
      <c r="A316" s="12"/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16" t="str">
        <f t="shared" si="8"/>
        <v/>
      </c>
      <c r="W316" s="16" t="str">
        <f t="shared" si="9"/>
        <v/>
      </c>
    </row>
    <row r="317" spans="1:23">
      <c r="A317" s="12"/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16" t="str">
        <f t="shared" si="8"/>
        <v/>
      </c>
      <c r="W317" s="16" t="str">
        <f t="shared" si="9"/>
        <v/>
      </c>
    </row>
    <row r="318" spans="1:23">
      <c r="A318" s="12"/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16" t="str">
        <f t="shared" si="8"/>
        <v/>
      </c>
      <c r="W318" s="16" t="str">
        <f t="shared" si="9"/>
        <v/>
      </c>
    </row>
    <row r="319" spans="1:23">
      <c r="A319" s="12"/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16" t="str">
        <f t="shared" si="8"/>
        <v/>
      </c>
      <c r="W319" s="16" t="str">
        <f t="shared" si="9"/>
        <v/>
      </c>
    </row>
    <row r="320" spans="1:23">
      <c r="A320" s="12"/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16" t="str">
        <f t="shared" si="8"/>
        <v/>
      </c>
      <c r="W320" s="16" t="str">
        <f t="shared" si="9"/>
        <v/>
      </c>
    </row>
    <row r="321" spans="1:23">
      <c r="A321" s="12"/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16" t="str">
        <f t="shared" si="8"/>
        <v/>
      </c>
      <c r="W321" s="16" t="str">
        <f t="shared" si="9"/>
        <v/>
      </c>
    </row>
    <row r="322" spans="1:23">
      <c r="A322" s="12"/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16" t="str">
        <f t="shared" si="8"/>
        <v/>
      </c>
      <c r="W322" s="16" t="str">
        <f t="shared" si="9"/>
        <v/>
      </c>
    </row>
    <row r="323" spans="1:23">
      <c r="A323" s="12"/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16" t="str">
        <f t="shared" si="8"/>
        <v/>
      </c>
      <c r="W323" s="16" t="str">
        <f t="shared" si="9"/>
        <v/>
      </c>
    </row>
    <row r="324" spans="1:23">
      <c r="A324" s="12"/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16" t="str">
        <f t="shared" si="8"/>
        <v/>
      </c>
      <c r="W324" s="16" t="str">
        <f t="shared" si="9"/>
        <v/>
      </c>
    </row>
    <row r="325" spans="1:23">
      <c r="A325" s="12"/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16" t="str">
        <f t="shared" si="8"/>
        <v/>
      </c>
      <c r="W325" s="16" t="str">
        <f t="shared" si="9"/>
        <v/>
      </c>
    </row>
    <row r="326" spans="1:23">
      <c r="A326" s="12"/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16" t="str">
        <f t="shared" si="8"/>
        <v/>
      </c>
      <c r="W326" s="16" t="str">
        <f t="shared" si="9"/>
        <v/>
      </c>
    </row>
    <row r="327" spans="1:23">
      <c r="A327" s="12"/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16" t="str">
        <f t="shared" ref="V327:V390" si="10">IF(COUNTA($A327:$U327)=0,"",SUM($C327:$G327)-SUM($H327:$I327)-$J327+$K327-$L327-$M327+SUM($N327:$Q327))</f>
        <v/>
      </c>
      <c r="W327" s="16" t="str">
        <f t="shared" ref="W327:W390" si="11">IF(COUNTA($A327:$U327)=0,"",$C327-SUM($R327:$T327))</f>
        <v/>
      </c>
    </row>
    <row r="328" spans="1:23">
      <c r="A328" s="12"/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16" t="str">
        <f t="shared" si="10"/>
        <v/>
      </c>
      <c r="W328" s="16" t="str">
        <f t="shared" si="11"/>
        <v/>
      </c>
    </row>
    <row r="329" spans="1:23">
      <c r="A329" s="12"/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5"/>
      <c r="V329" s="16" t="str">
        <f t="shared" si="10"/>
        <v/>
      </c>
      <c r="W329" s="16" t="str">
        <f t="shared" si="11"/>
        <v/>
      </c>
    </row>
    <row r="330" spans="1:23">
      <c r="A330" s="12"/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5"/>
      <c r="V330" s="16" t="str">
        <f t="shared" si="10"/>
        <v/>
      </c>
      <c r="W330" s="16" t="str">
        <f t="shared" si="11"/>
        <v/>
      </c>
    </row>
    <row r="331" spans="1:23">
      <c r="A331" s="12"/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5"/>
      <c r="V331" s="16" t="str">
        <f t="shared" si="10"/>
        <v/>
      </c>
      <c r="W331" s="16" t="str">
        <f t="shared" si="11"/>
        <v/>
      </c>
    </row>
    <row r="332" spans="1:23">
      <c r="A332" s="12"/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5"/>
      <c r="V332" s="16" t="str">
        <f t="shared" si="10"/>
        <v/>
      </c>
      <c r="W332" s="16" t="str">
        <f t="shared" si="11"/>
        <v/>
      </c>
    </row>
    <row r="333" spans="1:23">
      <c r="A333" s="12"/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5"/>
      <c r="V333" s="16" t="str">
        <f t="shared" si="10"/>
        <v/>
      </c>
      <c r="W333" s="16" t="str">
        <f t="shared" si="11"/>
        <v/>
      </c>
    </row>
    <row r="334" spans="1:23">
      <c r="A334" s="12"/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5"/>
      <c r="V334" s="16" t="str">
        <f t="shared" si="10"/>
        <v/>
      </c>
      <c r="W334" s="16" t="str">
        <f t="shared" si="11"/>
        <v/>
      </c>
    </row>
    <row r="335" spans="1:23">
      <c r="A335" s="12"/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5"/>
      <c r="V335" s="16" t="str">
        <f t="shared" si="10"/>
        <v/>
      </c>
      <c r="W335" s="16" t="str">
        <f t="shared" si="11"/>
        <v/>
      </c>
    </row>
    <row r="336" spans="1:23">
      <c r="A336" s="12"/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5"/>
      <c r="V336" s="16" t="str">
        <f t="shared" si="10"/>
        <v/>
      </c>
      <c r="W336" s="16" t="str">
        <f t="shared" si="11"/>
        <v/>
      </c>
    </row>
    <row r="337" spans="1:23">
      <c r="A337" s="12"/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5"/>
      <c r="V337" s="16" t="str">
        <f t="shared" si="10"/>
        <v/>
      </c>
      <c r="W337" s="16" t="str">
        <f t="shared" si="11"/>
        <v/>
      </c>
    </row>
    <row r="338" spans="1:23">
      <c r="A338" s="12"/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5"/>
      <c r="V338" s="16" t="str">
        <f t="shared" si="10"/>
        <v/>
      </c>
      <c r="W338" s="16" t="str">
        <f t="shared" si="11"/>
        <v/>
      </c>
    </row>
    <row r="339" spans="1:23">
      <c r="A339" s="12"/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5"/>
      <c r="V339" s="16" t="str">
        <f t="shared" si="10"/>
        <v/>
      </c>
      <c r="W339" s="16" t="str">
        <f t="shared" si="11"/>
        <v/>
      </c>
    </row>
    <row r="340" spans="1:23">
      <c r="A340" s="12"/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5"/>
      <c r="V340" s="16" t="str">
        <f t="shared" si="10"/>
        <v/>
      </c>
      <c r="W340" s="16" t="str">
        <f t="shared" si="11"/>
        <v/>
      </c>
    </row>
    <row r="341" spans="1:23">
      <c r="A341" s="12"/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5"/>
      <c r="V341" s="16" t="str">
        <f t="shared" si="10"/>
        <v/>
      </c>
      <c r="W341" s="16" t="str">
        <f t="shared" si="11"/>
        <v/>
      </c>
    </row>
    <row r="342" spans="1:23">
      <c r="A342" s="12"/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5"/>
      <c r="V342" s="16" t="str">
        <f t="shared" si="10"/>
        <v/>
      </c>
      <c r="W342" s="16" t="str">
        <f t="shared" si="11"/>
        <v/>
      </c>
    </row>
    <row r="343" spans="1:23">
      <c r="A343" s="12"/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5"/>
      <c r="V343" s="16" t="str">
        <f t="shared" si="10"/>
        <v/>
      </c>
      <c r="W343" s="16" t="str">
        <f t="shared" si="11"/>
        <v/>
      </c>
    </row>
    <row r="344" spans="1:23">
      <c r="A344" s="12"/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5"/>
      <c r="V344" s="16" t="str">
        <f t="shared" si="10"/>
        <v/>
      </c>
      <c r="W344" s="16" t="str">
        <f t="shared" si="11"/>
        <v/>
      </c>
    </row>
    <row r="345" spans="1:23">
      <c r="A345" s="12"/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5"/>
      <c r="V345" s="16" t="str">
        <f t="shared" si="10"/>
        <v/>
      </c>
      <c r="W345" s="16" t="str">
        <f t="shared" si="11"/>
        <v/>
      </c>
    </row>
    <row r="346" spans="1:23">
      <c r="A346" s="12"/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5"/>
      <c r="V346" s="16" t="str">
        <f t="shared" si="10"/>
        <v/>
      </c>
      <c r="W346" s="16" t="str">
        <f t="shared" si="11"/>
        <v/>
      </c>
    </row>
    <row r="347" spans="1:23">
      <c r="A347" s="12"/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5"/>
      <c r="V347" s="16" t="str">
        <f t="shared" si="10"/>
        <v/>
      </c>
      <c r="W347" s="16" t="str">
        <f t="shared" si="11"/>
        <v/>
      </c>
    </row>
    <row r="348" spans="1:23">
      <c r="A348" s="12"/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5"/>
      <c r="V348" s="16" t="str">
        <f t="shared" si="10"/>
        <v/>
      </c>
      <c r="W348" s="16" t="str">
        <f t="shared" si="11"/>
        <v/>
      </c>
    </row>
    <row r="349" spans="1:23">
      <c r="A349" s="12"/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5"/>
      <c r="V349" s="16" t="str">
        <f t="shared" si="10"/>
        <v/>
      </c>
      <c r="W349" s="16" t="str">
        <f t="shared" si="11"/>
        <v/>
      </c>
    </row>
    <row r="350" spans="1:23">
      <c r="A350" s="12"/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5"/>
      <c r="V350" s="16" t="str">
        <f t="shared" si="10"/>
        <v/>
      </c>
      <c r="W350" s="16" t="str">
        <f t="shared" si="11"/>
        <v/>
      </c>
    </row>
    <row r="351" spans="1:23">
      <c r="A351" s="12"/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5"/>
      <c r="V351" s="16" t="str">
        <f t="shared" si="10"/>
        <v/>
      </c>
      <c r="W351" s="16" t="str">
        <f t="shared" si="11"/>
        <v/>
      </c>
    </row>
    <row r="352" spans="1:23">
      <c r="A352" s="12"/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5"/>
      <c r="V352" s="16" t="str">
        <f t="shared" si="10"/>
        <v/>
      </c>
      <c r="W352" s="16" t="str">
        <f t="shared" si="11"/>
        <v/>
      </c>
    </row>
    <row r="353" spans="1:23">
      <c r="A353" s="12"/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5"/>
      <c r="V353" s="16" t="str">
        <f t="shared" si="10"/>
        <v/>
      </c>
      <c r="W353" s="16" t="str">
        <f t="shared" si="11"/>
        <v/>
      </c>
    </row>
    <row r="354" spans="1:23">
      <c r="A354" s="12"/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5"/>
      <c r="V354" s="16" t="str">
        <f t="shared" si="10"/>
        <v/>
      </c>
      <c r="W354" s="16" t="str">
        <f t="shared" si="11"/>
        <v/>
      </c>
    </row>
    <row r="355" spans="1:23">
      <c r="A355" s="12"/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5"/>
      <c r="V355" s="16" t="str">
        <f t="shared" si="10"/>
        <v/>
      </c>
      <c r="W355" s="16" t="str">
        <f t="shared" si="11"/>
        <v/>
      </c>
    </row>
    <row r="356" spans="1:23">
      <c r="A356" s="12"/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5"/>
      <c r="V356" s="16" t="str">
        <f t="shared" si="10"/>
        <v/>
      </c>
      <c r="W356" s="16" t="str">
        <f t="shared" si="11"/>
        <v/>
      </c>
    </row>
    <row r="357" spans="1:23">
      <c r="A357" s="12"/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5"/>
      <c r="V357" s="16" t="str">
        <f t="shared" si="10"/>
        <v/>
      </c>
      <c r="W357" s="16" t="str">
        <f t="shared" si="11"/>
        <v/>
      </c>
    </row>
    <row r="358" spans="1:23">
      <c r="A358" s="12"/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5"/>
      <c r="V358" s="16" t="str">
        <f t="shared" si="10"/>
        <v/>
      </c>
      <c r="W358" s="16" t="str">
        <f t="shared" si="11"/>
        <v/>
      </c>
    </row>
    <row r="359" spans="1:23">
      <c r="A359" s="12"/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5"/>
      <c r="V359" s="16" t="str">
        <f t="shared" si="10"/>
        <v/>
      </c>
      <c r="W359" s="16" t="str">
        <f t="shared" si="11"/>
        <v/>
      </c>
    </row>
    <row r="360" spans="1:23">
      <c r="A360" s="12"/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5"/>
      <c r="V360" s="16" t="str">
        <f t="shared" si="10"/>
        <v/>
      </c>
      <c r="W360" s="16" t="str">
        <f t="shared" si="11"/>
        <v/>
      </c>
    </row>
    <row r="361" spans="1:23">
      <c r="A361" s="12"/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5"/>
      <c r="V361" s="16" t="str">
        <f t="shared" si="10"/>
        <v/>
      </c>
      <c r="W361" s="16" t="str">
        <f t="shared" si="11"/>
        <v/>
      </c>
    </row>
    <row r="362" spans="1:23">
      <c r="A362" s="12"/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5"/>
      <c r="V362" s="16" t="str">
        <f t="shared" si="10"/>
        <v/>
      </c>
      <c r="W362" s="16" t="str">
        <f t="shared" si="11"/>
        <v/>
      </c>
    </row>
    <row r="363" spans="1:23">
      <c r="A363" s="12"/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5"/>
      <c r="V363" s="16" t="str">
        <f t="shared" si="10"/>
        <v/>
      </c>
      <c r="W363" s="16" t="str">
        <f t="shared" si="11"/>
        <v/>
      </c>
    </row>
    <row r="364" spans="1:23">
      <c r="A364" s="12"/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5"/>
      <c r="V364" s="16" t="str">
        <f t="shared" si="10"/>
        <v/>
      </c>
      <c r="W364" s="16" t="str">
        <f t="shared" si="11"/>
        <v/>
      </c>
    </row>
    <row r="365" spans="1:23">
      <c r="A365" s="12"/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5"/>
      <c r="V365" s="16" t="str">
        <f t="shared" si="10"/>
        <v/>
      </c>
      <c r="W365" s="16" t="str">
        <f t="shared" si="11"/>
        <v/>
      </c>
    </row>
    <row r="366" spans="1:23">
      <c r="A366" s="12"/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5"/>
      <c r="V366" s="16" t="str">
        <f t="shared" si="10"/>
        <v/>
      </c>
      <c r="W366" s="16" t="str">
        <f t="shared" si="11"/>
        <v/>
      </c>
    </row>
    <row r="367" spans="1:23">
      <c r="A367" s="12"/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5"/>
      <c r="V367" s="16" t="str">
        <f t="shared" si="10"/>
        <v/>
      </c>
      <c r="W367" s="16" t="str">
        <f t="shared" si="11"/>
        <v/>
      </c>
    </row>
    <row r="368" spans="1:23">
      <c r="A368" s="12"/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5"/>
      <c r="V368" s="16" t="str">
        <f t="shared" si="10"/>
        <v/>
      </c>
      <c r="W368" s="16" t="str">
        <f t="shared" si="11"/>
        <v/>
      </c>
    </row>
    <row r="369" spans="1:23">
      <c r="A369" s="12"/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5"/>
      <c r="V369" s="16" t="str">
        <f t="shared" si="10"/>
        <v/>
      </c>
      <c r="W369" s="16" t="str">
        <f t="shared" si="11"/>
        <v/>
      </c>
    </row>
    <row r="370" spans="1:23">
      <c r="A370" s="12"/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5"/>
      <c r="V370" s="16" t="str">
        <f t="shared" si="10"/>
        <v/>
      </c>
      <c r="W370" s="16" t="str">
        <f t="shared" si="11"/>
        <v/>
      </c>
    </row>
    <row r="371" spans="1:23">
      <c r="A371" s="12"/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5"/>
      <c r="V371" s="16" t="str">
        <f t="shared" si="10"/>
        <v/>
      </c>
      <c r="W371" s="16" t="str">
        <f t="shared" si="11"/>
        <v/>
      </c>
    </row>
    <row r="372" spans="1:23">
      <c r="A372" s="12"/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5"/>
      <c r="V372" s="16" t="str">
        <f t="shared" si="10"/>
        <v/>
      </c>
      <c r="W372" s="16" t="str">
        <f t="shared" si="11"/>
        <v/>
      </c>
    </row>
    <row r="373" spans="1:23">
      <c r="A373" s="12"/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5"/>
      <c r="V373" s="16" t="str">
        <f t="shared" si="10"/>
        <v/>
      </c>
      <c r="W373" s="16" t="str">
        <f t="shared" si="11"/>
        <v/>
      </c>
    </row>
    <row r="374" spans="1:23">
      <c r="A374" s="12"/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5"/>
      <c r="V374" s="16" t="str">
        <f t="shared" si="10"/>
        <v/>
      </c>
      <c r="W374" s="16" t="str">
        <f t="shared" si="11"/>
        <v/>
      </c>
    </row>
    <row r="375" spans="1:23">
      <c r="A375" s="12"/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5"/>
      <c r="V375" s="16" t="str">
        <f t="shared" si="10"/>
        <v/>
      </c>
      <c r="W375" s="16" t="str">
        <f t="shared" si="11"/>
        <v/>
      </c>
    </row>
    <row r="376" spans="1:23">
      <c r="A376" s="12"/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5"/>
      <c r="V376" s="16" t="str">
        <f t="shared" si="10"/>
        <v/>
      </c>
      <c r="W376" s="16" t="str">
        <f t="shared" si="11"/>
        <v/>
      </c>
    </row>
    <row r="377" spans="1:23">
      <c r="A377" s="12"/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5"/>
      <c r="V377" s="16" t="str">
        <f t="shared" si="10"/>
        <v/>
      </c>
      <c r="W377" s="16" t="str">
        <f t="shared" si="11"/>
        <v/>
      </c>
    </row>
    <row r="378" spans="1:23">
      <c r="A378" s="12"/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5"/>
      <c r="V378" s="16" t="str">
        <f t="shared" si="10"/>
        <v/>
      </c>
      <c r="W378" s="16" t="str">
        <f t="shared" si="11"/>
        <v/>
      </c>
    </row>
    <row r="379" spans="1:23">
      <c r="A379" s="12"/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5"/>
      <c r="V379" s="16" t="str">
        <f t="shared" si="10"/>
        <v/>
      </c>
      <c r="W379" s="16" t="str">
        <f t="shared" si="11"/>
        <v/>
      </c>
    </row>
    <row r="380" spans="1:23">
      <c r="A380" s="12"/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5"/>
      <c r="V380" s="16" t="str">
        <f t="shared" si="10"/>
        <v/>
      </c>
      <c r="W380" s="16" t="str">
        <f t="shared" si="11"/>
        <v/>
      </c>
    </row>
    <row r="381" spans="1:23">
      <c r="A381" s="12"/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5"/>
      <c r="V381" s="16" t="str">
        <f t="shared" si="10"/>
        <v/>
      </c>
      <c r="W381" s="16" t="str">
        <f t="shared" si="11"/>
        <v/>
      </c>
    </row>
    <row r="382" spans="1:23">
      <c r="A382" s="12"/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5"/>
      <c r="V382" s="16" t="str">
        <f t="shared" si="10"/>
        <v/>
      </c>
      <c r="W382" s="16" t="str">
        <f t="shared" si="11"/>
        <v/>
      </c>
    </row>
    <row r="383" spans="1:23">
      <c r="A383" s="12"/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5"/>
      <c r="V383" s="16" t="str">
        <f t="shared" si="10"/>
        <v/>
      </c>
      <c r="W383" s="16" t="str">
        <f t="shared" si="11"/>
        <v/>
      </c>
    </row>
    <row r="384" spans="1:23">
      <c r="A384" s="12"/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5"/>
      <c r="V384" s="16" t="str">
        <f t="shared" si="10"/>
        <v/>
      </c>
      <c r="W384" s="16" t="str">
        <f t="shared" si="11"/>
        <v/>
      </c>
    </row>
    <row r="385" spans="1:23">
      <c r="A385" s="12"/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5"/>
      <c r="V385" s="16" t="str">
        <f t="shared" si="10"/>
        <v/>
      </c>
      <c r="W385" s="16" t="str">
        <f t="shared" si="11"/>
        <v/>
      </c>
    </row>
    <row r="386" spans="1:23">
      <c r="A386" s="12"/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5"/>
      <c r="V386" s="16" t="str">
        <f t="shared" si="10"/>
        <v/>
      </c>
      <c r="W386" s="16" t="str">
        <f t="shared" si="11"/>
        <v/>
      </c>
    </row>
    <row r="387" spans="1:23">
      <c r="A387" s="12"/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5"/>
      <c r="V387" s="16" t="str">
        <f t="shared" si="10"/>
        <v/>
      </c>
      <c r="W387" s="16" t="str">
        <f t="shared" si="11"/>
        <v/>
      </c>
    </row>
    <row r="388" spans="1:23">
      <c r="A388" s="12"/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5"/>
      <c r="V388" s="16" t="str">
        <f t="shared" si="10"/>
        <v/>
      </c>
      <c r="W388" s="16" t="str">
        <f t="shared" si="11"/>
        <v/>
      </c>
    </row>
    <row r="389" spans="1:23">
      <c r="A389" s="12"/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5"/>
      <c r="V389" s="16" t="str">
        <f t="shared" si="10"/>
        <v/>
      </c>
      <c r="W389" s="16" t="str">
        <f t="shared" si="11"/>
        <v/>
      </c>
    </row>
    <row r="390" spans="1:23">
      <c r="A390" s="12"/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5"/>
      <c r="V390" s="16" t="str">
        <f t="shared" si="10"/>
        <v/>
      </c>
      <c r="W390" s="16" t="str">
        <f t="shared" si="11"/>
        <v/>
      </c>
    </row>
    <row r="391" spans="1:23">
      <c r="A391" s="12"/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5"/>
      <c r="V391" s="16" t="str">
        <f t="shared" ref="V391:V454" si="12">IF(COUNTA($A391:$U391)=0,"",SUM($C391:$G391)-SUM($H391:$I391)-$J391+$K391-$L391-$M391+SUM($N391:$Q391))</f>
        <v/>
      </c>
      <c r="W391" s="16" t="str">
        <f t="shared" ref="W391:W454" si="13">IF(COUNTA($A391:$U391)=0,"",$C391-SUM($R391:$T391))</f>
        <v/>
      </c>
    </row>
    <row r="392" spans="1:23">
      <c r="A392" s="12"/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5"/>
      <c r="V392" s="16" t="str">
        <f t="shared" si="12"/>
        <v/>
      </c>
      <c r="W392" s="16" t="str">
        <f t="shared" si="13"/>
        <v/>
      </c>
    </row>
    <row r="393" spans="1:23">
      <c r="A393" s="12"/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5"/>
      <c r="V393" s="16" t="str">
        <f t="shared" si="12"/>
        <v/>
      </c>
      <c r="W393" s="16" t="str">
        <f t="shared" si="13"/>
        <v/>
      </c>
    </row>
    <row r="394" spans="1:23">
      <c r="A394" s="12"/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5"/>
      <c r="V394" s="16" t="str">
        <f t="shared" si="12"/>
        <v/>
      </c>
      <c r="W394" s="16" t="str">
        <f t="shared" si="13"/>
        <v/>
      </c>
    </row>
    <row r="395" spans="1:23">
      <c r="A395" s="12"/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5"/>
      <c r="V395" s="16" t="str">
        <f t="shared" si="12"/>
        <v/>
      </c>
      <c r="W395" s="16" t="str">
        <f t="shared" si="13"/>
        <v/>
      </c>
    </row>
    <row r="396" spans="1:23">
      <c r="A396" s="12"/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5"/>
      <c r="V396" s="16" t="str">
        <f t="shared" si="12"/>
        <v/>
      </c>
      <c r="W396" s="16" t="str">
        <f t="shared" si="13"/>
        <v/>
      </c>
    </row>
    <row r="397" spans="1:23">
      <c r="A397" s="12"/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5"/>
      <c r="V397" s="16" t="str">
        <f t="shared" si="12"/>
        <v/>
      </c>
      <c r="W397" s="16" t="str">
        <f t="shared" si="13"/>
        <v/>
      </c>
    </row>
    <row r="398" spans="1:23">
      <c r="A398" s="12"/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5"/>
      <c r="V398" s="16" t="str">
        <f t="shared" si="12"/>
        <v/>
      </c>
      <c r="W398" s="16" t="str">
        <f t="shared" si="13"/>
        <v/>
      </c>
    </row>
    <row r="399" spans="1:23">
      <c r="A399" s="12"/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5"/>
      <c r="V399" s="16" t="str">
        <f t="shared" si="12"/>
        <v/>
      </c>
      <c r="W399" s="16" t="str">
        <f t="shared" si="13"/>
        <v/>
      </c>
    </row>
    <row r="400" spans="1:23">
      <c r="A400" s="12"/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5"/>
      <c r="V400" s="16" t="str">
        <f t="shared" si="12"/>
        <v/>
      </c>
      <c r="W400" s="16" t="str">
        <f t="shared" si="13"/>
        <v/>
      </c>
    </row>
    <row r="401" spans="1:23">
      <c r="A401" s="12"/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5"/>
      <c r="V401" s="16" t="str">
        <f t="shared" si="12"/>
        <v/>
      </c>
      <c r="W401" s="16" t="str">
        <f t="shared" si="13"/>
        <v/>
      </c>
    </row>
    <row r="402" spans="1:23">
      <c r="A402" s="12"/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5"/>
      <c r="V402" s="16" t="str">
        <f t="shared" si="12"/>
        <v/>
      </c>
      <c r="W402" s="16" t="str">
        <f t="shared" si="13"/>
        <v/>
      </c>
    </row>
    <row r="403" spans="1:23">
      <c r="A403" s="12"/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5"/>
      <c r="V403" s="16" t="str">
        <f t="shared" si="12"/>
        <v/>
      </c>
      <c r="W403" s="16" t="str">
        <f t="shared" si="13"/>
        <v/>
      </c>
    </row>
    <row r="404" spans="1:23">
      <c r="A404" s="12"/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5"/>
      <c r="V404" s="16" t="str">
        <f t="shared" si="12"/>
        <v/>
      </c>
      <c r="W404" s="16" t="str">
        <f t="shared" si="13"/>
        <v/>
      </c>
    </row>
    <row r="405" spans="1:23">
      <c r="A405" s="12"/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5"/>
      <c r="V405" s="16" t="str">
        <f t="shared" si="12"/>
        <v/>
      </c>
      <c r="W405" s="16" t="str">
        <f t="shared" si="13"/>
        <v/>
      </c>
    </row>
    <row r="406" spans="1:23">
      <c r="A406" s="12"/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5"/>
      <c r="V406" s="16" t="str">
        <f t="shared" si="12"/>
        <v/>
      </c>
      <c r="W406" s="16" t="str">
        <f t="shared" si="13"/>
        <v/>
      </c>
    </row>
    <row r="407" spans="1:23">
      <c r="A407" s="12"/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5"/>
      <c r="V407" s="16" t="str">
        <f t="shared" si="12"/>
        <v/>
      </c>
      <c r="W407" s="16" t="str">
        <f t="shared" si="13"/>
        <v/>
      </c>
    </row>
    <row r="408" spans="1:23">
      <c r="A408" s="12"/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5"/>
      <c r="V408" s="16" t="str">
        <f t="shared" si="12"/>
        <v/>
      </c>
      <c r="W408" s="16" t="str">
        <f t="shared" si="13"/>
        <v/>
      </c>
    </row>
    <row r="409" spans="1:23">
      <c r="A409" s="12"/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5"/>
      <c r="V409" s="16" t="str">
        <f t="shared" si="12"/>
        <v/>
      </c>
      <c r="W409" s="16" t="str">
        <f t="shared" si="13"/>
        <v/>
      </c>
    </row>
    <row r="410" spans="1:23">
      <c r="A410" s="12"/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5"/>
      <c r="V410" s="16" t="str">
        <f t="shared" si="12"/>
        <v/>
      </c>
      <c r="W410" s="16" t="str">
        <f t="shared" si="13"/>
        <v/>
      </c>
    </row>
    <row r="411" spans="1:23">
      <c r="A411" s="12"/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5"/>
      <c r="V411" s="16" t="str">
        <f t="shared" si="12"/>
        <v/>
      </c>
      <c r="W411" s="16" t="str">
        <f t="shared" si="13"/>
        <v/>
      </c>
    </row>
    <row r="412" spans="1:23">
      <c r="A412" s="12"/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5"/>
      <c r="V412" s="16" t="str">
        <f t="shared" si="12"/>
        <v/>
      </c>
      <c r="W412" s="16" t="str">
        <f t="shared" si="13"/>
        <v/>
      </c>
    </row>
    <row r="413" spans="1:23">
      <c r="A413" s="12"/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5"/>
      <c r="V413" s="16" t="str">
        <f t="shared" si="12"/>
        <v/>
      </c>
      <c r="W413" s="16" t="str">
        <f t="shared" si="13"/>
        <v/>
      </c>
    </row>
    <row r="414" spans="1:23">
      <c r="A414" s="12"/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5"/>
      <c r="V414" s="16" t="str">
        <f t="shared" si="12"/>
        <v/>
      </c>
      <c r="W414" s="16" t="str">
        <f t="shared" si="13"/>
        <v/>
      </c>
    </row>
    <row r="415" spans="1:23">
      <c r="A415" s="12"/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5"/>
      <c r="V415" s="16" t="str">
        <f t="shared" si="12"/>
        <v/>
      </c>
      <c r="W415" s="16" t="str">
        <f t="shared" si="13"/>
        <v/>
      </c>
    </row>
    <row r="416" spans="1:23">
      <c r="A416" s="12"/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5"/>
      <c r="V416" s="16" t="str">
        <f t="shared" si="12"/>
        <v/>
      </c>
      <c r="W416" s="16" t="str">
        <f t="shared" si="13"/>
        <v/>
      </c>
    </row>
    <row r="417" spans="1:23">
      <c r="A417" s="12"/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5"/>
      <c r="V417" s="16" t="str">
        <f t="shared" si="12"/>
        <v/>
      </c>
      <c r="W417" s="16" t="str">
        <f t="shared" si="13"/>
        <v/>
      </c>
    </row>
    <row r="418" spans="1:23">
      <c r="A418" s="12"/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5"/>
      <c r="V418" s="16" t="str">
        <f t="shared" si="12"/>
        <v/>
      </c>
      <c r="W418" s="16" t="str">
        <f t="shared" si="13"/>
        <v/>
      </c>
    </row>
    <row r="419" spans="1:23">
      <c r="A419" s="12"/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5"/>
      <c r="V419" s="16" t="str">
        <f t="shared" si="12"/>
        <v/>
      </c>
      <c r="W419" s="16" t="str">
        <f t="shared" si="13"/>
        <v/>
      </c>
    </row>
    <row r="420" spans="1:23">
      <c r="A420" s="12"/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5"/>
      <c r="V420" s="16" t="str">
        <f t="shared" si="12"/>
        <v/>
      </c>
      <c r="W420" s="16" t="str">
        <f t="shared" si="13"/>
        <v/>
      </c>
    </row>
    <row r="421" spans="1:23">
      <c r="A421" s="12"/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5"/>
      <c r="V421" s="16" t="str">
        <f t="shared" si="12"/>
        <v/>
      </c>
      <c r="W421" s="16" t="str">
        <f t="shared" si="13"/>
        <v/>
      </c>
    </row>
    <row r="422" spans="1:23">
      <c r="A422" s="12"/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5"/>
      <c r="V422" s="16" t="str">
        <f t="shared" si="12"/>
        <v/>
      </c>
      <c r="W422" s="16" t="str">
        <f t="shared" si="13"/>
        <v/>
      </c>
    </row>
    <row r="423" spans="1:23">
      <c r="A423" s="12"/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5"/>
      <c r="V423" s="16" t="str">
        <f t="shared" si="12"/>
        <v/>
      </c>
      <c r="W423" s="16" t="str">
        <f t="shared" si="13"/>
        <v/>
      </c>
    </row>
    <row r="424" spans="1:23">
      <c r="A424" s="12"/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5"/>
      <c r="V424" s="16" t="str">
        <f t="shared" si="12"/>
        <v/>
      </c>
      <c r="W424" s="16" t="str">
        <f t="shared" si="13"/>
        <v/>
      </c>
    </row>
    <row r="425" spans="1:23">
      <c r="A425" s="12"/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5"/>
      <c r="V425" s="16" t="str">
        <f t="shared" si="12"/>
        <v/>
      </c>
      <c r="W425" s="16" t="str">
        <f t="shared" si="13"/>
        <v/>
      </c>
    </row>
    <row r="426" spans="1:23">
      <c r="A426" s="12"/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5"/>
      <c r="V426" s="16" t="str">
        <f t="shared" si="12"/>
        <v/>
      </c>
      <c r="W426" s="16" t="str">
        <f t="shared" si="13"/>
        <v/>
      </c>
    </row>
    <row r="427" spans="1:23">
      <c r="A427" s="12"/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5"/>
      <c r="V427" s="16" t="str">
        <f t="shared" si="12"/>
        <v/>
      </c>
      <c r="W427" s="16" t="str">
        <f t="shared" si="13"/>
        <v/>
      </c>
    </row>
    <row r="428" spans="1:23">
      <c r="A428" s="12"/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5"/>
      <c r="V428" s="16" t="str">
        <f t="shared" si="12"/>
        <v/>
      </c>
      <c r="W428" s="16" t="str">
        <f t="shared" si="13"/>
        <v/>
      </c>
    </row>
    <row r="429" spans="1:23">
      <c r="A429" s="12"/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5"/>
      <c r="V429" s="16" t="str">
        <f t="shared" si="12"/>
        <v/>
      </c>
      <c r="W429" s="16" t="str">
        <f t="shared" si="13"/>
        <v/>
      </c>
    </row>
    <row r="430" spans="1:23">
      <c r="A430" s="12"/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5"/>
      <c r="V430" s="16" t="str">
        <f t="shared" si="12"/>
        <v/>
      </c>
      <c r="W430" s="16" t="str">
        <f t="shared" si="13"/>
        <v/>
      </c>
    </row>
    <row r="431" spans="1:23">
      <c r="A431" s="12"/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5"/>
      <c r="V431" s="16" t="str">
        <f t="shared" si="12"/>
        <v/>
      </c>
      <c r="W431" s="16" t="str">
        <f t="shared" si="13"/>
        <v/>
      </c>
    </row>
    <row r="432" spans="1:23">
      <c r="A432" s="12"/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5"/>
      <c r="V432" s="16" t="str">
        <f t="shared" si="12"/>
        <v/>
      </c>
      <c r="W432" s="16" t="str">
        <f t="shared" si="13"/>
        <v/>
      </c>
    </row>
    <row r="433" spans="1:23">
      <c r="A433" s="12"/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5"/>
      <c r="V433" s="16" t="str">
        <f t="shared" si="12"/>
        <v/>
      </c>
      <c r="W433" s="16" t="str">
        <f t="shared" si="13"/>
        <v/>
      </c>
    </row>
    <row r="434" spans="1:23">
      <c r="A434" s="12"/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5"/>
      <c r="V434" s="16" t="str">
        <f t="shared" si="12"/>
        <v/>
      </c>
      <c r="W434" s="16" t="str">
        <f t="shared" si="13"/>
        <v/>
      </c>
    </row>
    <row r="435" spans="1:23">
      <c r="A435" s="12"/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5"/>
      <c r="V435" s="16" t="str">
        <f t="shared" si="12"/>
        <v/>
      </c>
      <c r="W435" s="16" t="str">
        <f t="shared" si="13"/>
        <v/>
      </c>
    </row>
    <row r="436" spans="1:23">
      <c r="A436" s="12"/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5"/>
      <c r="V436" s="16" t="str">
        <f t="shared" si="12"/>
        <v/>
      </c>
      <c r="W436" s="16" t="str">
        <f t="shared" si="13"/>
        <v/>
      </c>
    </row>
    <row r="437" spans="1:23">
      <c r="A437" s="12"/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5"/>
      <c r="V437" s="16" t="str">
        <f t="shared" si="12"/>
        <v/>
      </c>
      <c r="W437" s="16" t="str">
        <f t="shared" si="13"/>
        <v/>
      </c>
    </row>
    <row r="438" spans="1:23">
      <c r="A438" s="12"/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5"/>
      <c r="V438" s="16" t="str">
        <f t="shared" si="12"/>
        <v/>
      </c>
      <c r="W438" s="16" t="str">
        <f t="shared" si="13"/>
        <v/>
      </c>
    </row>
    <row r="439" spans="1:23">
      <c r="A439" s="12"/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5"/>
      <c r="V439" s="16" t="str">
        <f t="shared" si="12"/>
        <v/>
      </c>
      <c r="W439" s="16" t="str">
        <f t="shared" si="13"/>
        <v/>
      </c>
    </row>
    <row r="440" spans="1:23">
      <c r="A440" s="12"/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5"/>
      <c r="V440" s="16" t="str">
        <f t="shared" si="12"/>
        <v/>
      </c>
      <c r="W440" s="16" t="str">
        <f t="shared" si="13"/>
        <v/>
      </c>
    </row>
    <row r="441" spans="1:23">
      <c r="A441" s="12"/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5"/>
      <c r="V441" s="16" t="str">
        <f t="shared" si="12"/>
        <v/>
      </c>
      <c r="W441" s="16" t="str">
        <f t="shared" si="13"/>
        <v/>
      </c>
    </row>
    <row r="442" spans="1:23">
      <c r="A442" s="12"/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5"/>
      <c r="V442" s="16" t="str">
        <f t="shared" si="12"/>
        <v/>
      </c>
      <c r="W442" s="16" t="str">
        <f t="shared" si="13"/>
        <v/>
      </c>
    </row>
    <row r="443" spans="1:23">
      <c r="A443" s="12"/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5"/>
      <c r="V443" s="16" t="str">
        <f t="shared" si="12"/>
        <v/>
      </c>
      <c r="W443" s="16" t="str">
        <f t="shared" si="13"/>
        <v/>
      </c>
    </row>
    <row r="444" spans="1:23">
      <c r="A444" s="12"/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5"/>
      <c r="V444" s="16" t="str">
        <f t="shared" si="12"/>
        <v/>
      </c>
      <c r="W444" s="16" t="str">
        <f t="shared" si="13"/>
        <v/>
      </c>
    </row>
    <row r="445" spans="1:23">
      <c r="A445" s="12"/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5"/>
      <c r="V445" s="16" t="str">
        <f t="shared" si="12"/>
        <v/>
      </c>
      <c r="W445" s="16" t="str">
        <f t="shared" si="13"/>
        <v/>
      </c>
    </row>
    <row r="446" spans="1:23">
      <c r="A446" s="12"/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5"/>
      <c r="V446" s="16" t="str">
        <f t="shared" si="12"/>
        <v/>
      </c>
      <c r="W446" s="16" t="str">
        <f t="shared" si="13"/>
        <v/>
      </c>
    </row>
    <row r="447" spans="1:23">
      <c r="A447" s="12"/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5"/>
      <c r="V447" s="16" t="str">
        <f t="shared" si="12"/>
        <v/>
      </c>
      <c r="W447" s="16" t="str">
        <f t="shared" si="13"/>
        <v/>
      </c>
    </row>
    <row r="448" spans="1:23">
      <c r="A448" s="12"/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5"/>
      <c r="V448" s="16" t="str">
        <f t="shared" si="12"/>
        <v/>
      </c>
      <c r="W448" s="16" t="str">
        <f t="shared" si="13"/>
        <v/>
      </c>
    </row>
    <row r="449" spans="1:23">
      <c r="A449" s="12"/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5"/>
      <c r="V449" s="16" t="str">
        <f t="shared" si="12"/>
        <v/>
      </c>
      <c r="W449" s="16" t="str">
        <f t="shared" si="13"/>
        <v/>
      </c>
    </row>
    <row r="450" spans="1:23">
      <c r="A450" s="12"/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5"/>
      <c r="V450" s="16" t="str">
        <f t="shared" si="12"/>
        <v/>
      </c>
      <c r="W450" s="16" t="str">
        <f t="shared" si="13"/>
        <v/>
      </c>
    </row>
    <row r="451" spans="1:23">
      <c r="A451" s="12"/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5"/>
      <c r="V451" s="16" t="str">
        <f t="shared" si="12"/>
        <v/>
      </c>
      <c r="W451" s="16" t="str">
        <f t="shared" si="13"/>
        <v/>
      </c>
    </row>
    <row r="452" spans="1:23">
      <c r="A452" s="12"/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5"/>
      <c r="V452" s="16" t="str">
        <f t="shared" si="12"/>
        <v/>
      </c>
      <c r="W452" s="16" t="str">
        <f t="shared" si="13"/>
        <v/>
      </c>
    </row>
    <row r="453" spans="1:23">
      <c r="A453" s="12"/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5"/>
      <c r="V453" s="16" t="str">
        <f t="shared" si="12"/>
        <v/>
      </c>
      <c r="W453" s="16" t="str">
        <f t="shared" si="13"/>
        <v/>
      </c>
    </row>
    <row r="454" spans="1:23">
      <c r="A454" s="12"/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5"/>
      <c r="V454" s="16" t="str">
        <f t="shared" si="12"/>
        <v/>
      </c>
      <c r="W454" s="16" t="str">
        <f t="shared" si="13"/>
        <v/>
      </c>
    </row>
    <row r="455" spans="1:23">
      <c r="A455" s="12"/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5"/>
      <c r="V455" s="16" t="str">
        <f t="shared" ref="V455:V518" si="14">IF(COUNTA($A455:$U455)=0,"",SUM($C455:$G455)-SUM($H455:$I455)-$J455+$K455-$L455-$M455+SUM($N455:$Q455))</f>
        <v/>
      </c>
      <c r="W455" s="16" t="str">
        <f t="shared" ref="W455:W518" si="15">IF(COUNTA($A455:$U455)=0,"",$C455-SUM($R455:$T455))</f>
        <v/>
      </c>
    </row>
    <row r="456" spans="1:23">
      <c r="A456" s="12"/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5"/>
      <c r="V456" s="16" t="str">
        <f t="shared" si="14"/>
        <v/>
      </c>
      <c r="W456" s="16" t="str">
        <f t="shared" si="15"/>
        <v/>
      </c>
    </row>
    <row r="457" spans="1:23">
      <c r="A457" s="12"/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5"/>
      <c r="V457" s="16" t="str">
        <f t="shared" si="14"/>
        <v/>
      </c>
      <c r="W457" s="16" t="str">
        <f t="shared" si="15"/>
        <v/>
      </c>
    </row>
    <row r="458" spans="1:23">
      <c r="A458" s="12"/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5"/>
      <c r="V458" s="16" t="str">
        <f t="shared" si="14"/>
        <v/>
      </c>
      <c r="W458" s="16" t="str">
        <f t="shared" si="15"/>
        <v/>
      </c>
    </row>
    <row r="459" spans="1:23">
      <c r="A459" s="12"/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5"/>
      <c r="V459" s="16" t="str">
        <f t="shared" si="14"/>
        <v/>
      </c>
      <c r="W459" s="16" t="str">
        <f t="shared" si="15"/>
        <v/>
      </c>
    </row>
    <row r="460" spans="1:23">
      <c r="A460" s="12"/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5"/>
      <c r="V460" s="16" t="str">
        <f t="shared" si="14"/>
        <v/>
      </c>
      <c r="W460" s="16" t="str">
        <f t="shared" si="15"/>
        <v/>
      </c>
    </row>
    <row r="461" spans="1:23">
      <c r="A461" s="12"/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5"/>
      <c r="V461" s="16" t="str">
        <f t="shared" si="14"/>
        <v/>
      </c>
      <c r="W461" s="16" t="str">
        <f t="shared" si="15"/>
        <v/>
      </c>
    </row>
    <row r="462" spans="1:23">
      <c r="A462" s="12"/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5"/>
      <c r="V462" s="16" t="str">
        <f t="shared" si="14"/>
        <v/>
      </c>
      <c r="W462" s="16" t="str">
        <f t="shared" si="15"/>
        <v/>
      </c>
    </row>
    <row r="463" spans="1:23">
      <c r="A463" s="12"/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5"/>
      <c r="V463" s="16" t="str">
        <f t="shared" si="14"/>
        <v/>
      </c>
      <c r="W463" s="16" t="str">
        <f t="shared" si="15"/>
        <v/>
      </c>
    </row>
    <row r="464" spans="1:23">
      <c r="A464" s="12"/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5"/>
      <c r="V464" s="16" t="str">
        <f t="shared" si="14"/>
        <v/>
      </c>
      <c r="W464" s="16" t="str">
        <f t="shared" si="15"/>
        <v/>
      </c>
    </row>
    <row r="465" spans="1:23">
      <c r="A465" s="12"/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5"/>
      <c r="V465" s="16" t="str">
        <f t="shared" si="14"/>
        <v/>
      </c>
      <c r="W465" s="16" t="str">
        <f t="shared" si="15"/>
        <v/>
      </c>
    </row>
    <row r="466" spans="1:23">
      <c r="A466" s="12"/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5"/>
      <c r="V466" s="16" t="str">
        <f t="shared" si="14"/>
        <v/>
      </c>
      <c r="W466" s="16" t="str">
        <f t="shared" si="15"/>
        <v/>
      </c>
    </row>
    <row r="467" spans="1:23">
      <c r="A467" s="12"/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5"/>
      <c r="V467" s="16" t="str">
        <f t="shared" si="14"/>
        <v/>
      </c>
      <c r="W467" s="16" t="str">
        <f t="shared" si="15"/>
        <v/>
      </c>
    </row>
    <row r="468" spans="1:23">
      <c r="A468" s="12"/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5"/>
      <c r="V468" s="16" t="str">
        <f t="shared" si="14"/>
        <v/>
      </c>
      <c r="W468" s="16" t="str">
        <f t="shared" si="15"/>
        <v/>
      </c>
    </row>
    <row r="469" spans="1:23">
      <c r="A469" s="12"/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5"/>
      <c r="V469" s="16" t="str">
        <f t="shared" si="14"/>
        <v/>
      </c>
      <c r="W469" s="16" t="str">
        <f t="shared" si="15"/>
        <v/>
      </c>
    </row>
    <row r="470" spans="1:23">
      <c r="A470" s="12"/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5"/>
      <c r="V470" s="16" t="str">
        <f t="shared" si="14"/>
        <v/>
      </c>
      <c r="W470" s="16" t="str">
        <f t="shared" si="15"/>
        <v/>
      </c>
    </row>
    <row r="471" spans="1:23">
      <c r="A471" s="12"/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/>
      <c r="V471" s="16" t="str">
        <f t="shared" si="14"/>
        <v/>
      </c>
      <c r="W471" s="16" t="str">
        <f t="shared" si="15"/>
        <v/>
      </c>
    </row>
    <row r="472" spans="1:23">
      <c r="A472" s="12"/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5"/>
      <c r="V472" s="16" t="str">
        <f t="shared" si="14"/>
        <v/>
      </c>
      <c r="W472" s="16" t="str">
        <f t="shared" si="15"/>
        <v/>
      </c>
    </row>
    <row r="473" spans="1:23">
      <c r="A473" s="12"/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5"/>
      <c r="V473" s="16" t="str">
        <f t="shared" si="14"/>
        <v/>
      </c>
      <c r="W473" s="16" t="str">
        <f t="shared" si="15"/>
        <v/>
      </c>
    </row>
    <row r="474" spans="1:23">
      <c r="A474" s="12"/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5"/>
      <c r="V474" s="16" t="str">
        <f t="shared" si="14"/>
        <v/>
      </c>
      <c r="W474" s="16" t="str">
        <f t="shared" si="15"/>
        <v/>
      </c>
    </row>
    <row r="475" spans="1:23">
      <c r="A475" s="12"/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5"/>
      <c r="V475" s="16" t="str">
        <f t="shared" si="14"/>
        <v/>
      </c>
      <c r="W475" s="16" t="str">
        <f t="shared" si="15"/>
        <v/>
      </c>
    </row>
    <row r="476" spans="1:23">
      <c r="A476" s="12"/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5"/>
      <c r="V476" s="16" t="str">
        <f t="shared" si="14"/>
        <v/>
      </c>
      <c r="W476" s="16" t="str">
        <f t="shared" si="15"/>
        <v/>
      </c>
    </row>
    <row r="477" spans="1:23">
      <c r="A477" s="12"/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5"/>
      <c r="V477" s="16" t="str">
        <f t="shared" si="14"/>
        <v/>
      </c>
      <c r="W477" s="16" t="str">
        <f t="shared" si="15"/>
        <v/>
      </c>
    </row>
    <row r="478" spans="1:23">
      <c r="A478" s="12"/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5"/>
      <c r="V478" s="16" t="str">
        <f t="shared" si="14"/>
        <v/>
      </c>
      <c r="W478" s="16" t="str">
        <f t="shared" si="15"/>
        <v/>
      </c>
    </row>
    <row r="479" spans="1:23">
      <c r="A479" s="12"/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5"/>
      <c r="V479" s="16" t="str">
        <f t="shared" si="14"/>
        <v/>
      </c>
      <c r="W479" s="16" t="str">
        <f t="shared" si="15"/>
        <v/>
      </c>
    </row>
    <row r="480" spans="1:23">
      <c r="A480" s="12"/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5"/>
      <c r="V480" s="16" t="str">
        <f t="shared" si="14"/>
        <v/>
      </c>
      <c r="W480" s="16" t="str">
        <f t="shared" si="15"/>
        <v/>
      </c>
    </row>
    <row r="481" spans="1:23">
      <c r="A481" s="12"/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5"/>
      <c r="V481" s="16" t="str">
        <f t="shared" si="14"/>
        <v/>
      </c>
      <c r="W481" s="16" t="str">
        <f t="shared" si="15"/>
        <v/>
      </c>
    </row>
    <row r="482" spans="1:23">
      <c r="A482" s="12"/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5"/>
      <c r="V482" s="16" t="str">
        <f t="shared" si="14"/>
        <v/>
      </c>
      <c r="W482" s="16" t="str">
        <f t="shared" si="15"/>
        <v/>
      </c>
    </row>
    <row r="483" spans="1:23">
      <c r="A483" s="12"/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5"/>
      <c r="V483" s="16" t="str">
        <f t="shared" si="14"/>
        <v/>
      </c>
      <c r="W483" s="16" t="str">
        <f t="shared" si="15"/>
        <v/>
      </c>
    </row>
    <row r="484" spans="1:23">
      <c r="A484" s="12"/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5"/>
      <c r="V484" s="16" t="str">
        <f t="shared" si="14"/>
        <v/>
      </c>
      <c r="W484" s="16" t="str">
        <f t="shared" si="15"/>
        <v/>
      </c>
    </row>
    <row r="485" spans="1:23">
      <c r="A485" s="12"/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5"/>
      <c r="V485" s="16" t="str">
        <f t="shared" si="14"/>
        <v/>
      </c>
      <c r="W485" s="16" t="str">
        <f t="shared" si="15"/>
        <v/>
      </c>
    </row>
    <row r="486" spans="1:23">
      <c r="A486" s="12"/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5"/>
      <c r="V486" s="16" t="str">
        <f t="shared" si="14"/>
        <v/>
      </c>
      <c r="W486" s="16" t="str">
        <f t="shared" si="15"/>
        <v/>
      </c>
    </row>
    <row r="487" spans="1:23">
      <c r="A487" s="12"/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5"/>
      <c r="V487" s="16" t="str">
        <f t="shared" si="14"/>
        <v/>
      </c>
      <c r="W487" s="16" t="str">
        <f t="shared" si="15"/>
        <v/>
      </c>
    </row>
    <row r="488" spans="1:23">
      <c r="A488" s="12"/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5"/>
      <c r="V488" s="16" t="str">
        <f t="shared" si="14"/>
        <v/>
      </c>
      <c r="W488" s="16" t="str">
        <f t="shared" si="15"/>
        <v/>
      </c>
    </row>
    <row r="489" spans="1:23">
      <c r="A489" s="12"/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5"/>
      <c r="V489" s="16" t="str">
        <f t="shared" si="14"/>
        <v/>
      </c>
      <c r="W489" s="16" t="str">
        <f t="shared" si="15"/>
        <v/>
      </c>
    </row>
    <row r="490" spans="1:23">
      <c r="A490" s="12"/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5"/>
      <c r="V490" s="16" t="str">
        <f t="shared" si="14"/>
        <v/>
      </c>
      <c r="W490" s="16" t="str">
        <f t="shared" si="15"/>
        <v/>
      </c>
    </row>
    <row r="491" spans="1:23">
      <c r="A491" s="12"/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5"/>
      <c r="V491" s="16" t="str">
        <f t="shared" si="14"/>
        <v/>
      </c>
      <c r="W491" s="16" t="str">
        <f t="shared" si="15"/>
        <v/>
      </c>
    </row>
    <row r="492" spans="1:23">
      <c r="A492" s="12"/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5"/>
      <c r="V492" s="16" t="str">
        <f t="shared" si="14"/>
        <v/>
      </c>
      <c r="W492" s="16" t="str">
        <f t="shared" si="15"/>
        <v/>
      </c>
    </row>
    <row r="493" spans="1:23">
      <c r="A493" s="12"/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5"/>
      <c r="V493" s="16" t="str">
        <f t="shared" si="14"/>
        <v/>
      </c>
      <c r="W493" s="16" t="str">
        <f t="shared" si="15"/>
        <v/>
      </c>
    </row>
    <row r="494" spans="1:23">
      <c r="A494" s="12"/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5"/>
      <c r="V494" s="16" t="str">
        <f t="shared" si="14"/>
        <v/>
      </c>
      <c r="W494" s="16" t="str">
        <f t="shared" si="15"/>
        <v/>
      </c>
    </row>
    <row r="495" spans="1:23">
      <c r="A495" s="12"/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5"/>
      <c r="V495" s="16" t="str">
        <f t="shared" si="14"/>
        <v/>
      </c>
      <c r="W495" s="16" t="str">
        <f t="shared" si="15"/>
        <v/>
      </c>
    </row>
    <row r="496" spans="1:23">
      <c r="A496" s="12"/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5"/>
      <c r="V496" s="16" t="str">
        <f t="shared" si="14"/>
        <v/>
      </c>
      <c r="W496" s="16" t="str">
        <f t="shared" si="15"/>
        <v/>
      </c>
    </row>
    <row r="497" spans="1:23">
      <c r="A497" s="12"/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5"/>
      <c r="V497" s="16" t="str">
        <f t="shared" si="14"/>
        <v/>
      </c>
      <c r="W497" s="16" t="str">
        <f t="shared" si="15"/>
        <v/>
      </c>
    </row>
    <row r="498" spans="1:23">
      <c r="A498" s="12"/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5"/>
      <c r="V498" s="16" t="str">
        <f t="shared" si="14"/>
        <v/>
      </c>
      <c r="W498" s="16" t="str">
        <f t="shared" si="15"/>
        <v/>
      </c>
    </row>
    <row r="499" spans="1:23">
      <c r="A499" s="12"/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5"/>
      <c r="V499" s="16" t="str">
        <f t="shared" si="14"/>
        <v/>
      </c>
      <c r="W499" s="16" t="str">
        <f t="shared" si="15"/>
        <v/>
      </c>
    </row>
    <row r="500" spans="1:23">
      <c r="A500" s="12"/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5"/>
      <c r="V500" s="16" t="str">
        <f t="shared" si="14"/>
        <v/>
      </c>
      <c r="W500" s="16" t="str">
        <f t="shared" si="15"/>
        <v/>
      </c>
    </row>
    <row r="501" spans="1:23">
      <c r="A501" s="12"/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5"/>
      <c r="V501" s="16" t="str">
        <f t="shared" si="14"/>
        <v/>
      </c>
      <c r="W501" s="16" t="str">
        <f t="shared" si="15"/>
        <v/>
      </c>
    </row>
    <row r="502" spans="1:23">
      <c r="A502" s="12"/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5"/>
      <c r="V502" s="16" t="str">
        <f t="shared" si="14"/>
        <v/>
      </c>
      <c r="W502" s="16" t="str">
        <f t="shared" si="15"/>
        <v/>
      </c>
    </row>
    <row r="503" spans="1:23">
      <c r="A503" s="12"/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5"/>
      <c r="V503" s="16" t="str">
        <f t="shared" si="14"/>
        <v/>
      </c>
      <c r="W503" s="16" t="str">
        <f t="shared" si="15"/>
        <v/>
      </c>
    </row>
    <row r="504" spans="1:23">
      <c r="A504" s="12"/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5"/>
      <c r="V504" s="16" t="str">
        <f t="shared" si="14"/>
        <v/>
      </c>
      <c r="W504" s="16" t="str">
        <f t="shared" si="15"/>
        <v/>
      </c>
    </row>
    <row r="505" spans="1:23">
      <c r="A505" s="12"/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5"/>
      <c r="V505" s="16" t="str">
        <f t="shared" si="14"/>
        <v/>
      </c>
      <c r="W505" s="16" t="str">
        <f t="shared" si="15"/>
        <v/>
      </c>
    </row>
    <row r="506" spans="1:23">
      <c r="A506" s="12"/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5"/>
      <c r="V506" s="16" t="str">
        <f t="shared" si="14"/>
        <v/>
      </c>
      <c r="W506" s="16" t="str">
        <f t="shared" si="15"/>
        <v/>
      </c>
    </row>
    <row r="507" spans="1:23">
      <c r="A507" s="12"/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5"/>
      <c r="V507" s="16" t="str">
        <f t="shared" si="14"/>
        <v/>
      </c>
      <c r="W507" s="16" t="str">
        <f t="shared" si="15"/>
        <v/>
      </c>
    </row>
    <row r="508" spans="1:23">
      <c r="A508" s="12"/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5"/>
      <c r="V508" s="16" t="str">
        <f t="shared" si="14"/>
        <v/>
      </c>
      <c r="W508" s="16" t="str">
        <f t="shared" si="15"/>
        <v/>
      </c>
    </row>
    <row r="509" spans="1:23">
      <c r="A509" s="12"/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5"/>
      <c r="V509" s="16" t="str">
        <f t="shared" si="14"/>
        <v/>
      </c>
      <c r="W509" s="16" t="str">
        <f t="shared" si="15"/>
        <v/>
      </c>
    </row>
    <row r="510" spans="1:23">
      <c r="A510" s="12"/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5"/>
      <c r="V510" s="16" t="str">
        <f t="shared" si="14"/>
        <v/>
      </c>
      <c r="W510" s="16" t="str">
        <f t="shared" si="15"/>
        <v/>
      </c>
    </row>
    <row r="511" spans="1:23">
      <c r="A511" s="12"/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5"/>
      <c r="V511" s="16" t="str">
        <f t="shared" si="14"/>
        <v/>
      </c>
      <c r="W511" s="16" t="str">
        <f t="shared" si="15"/>
        <v/>
      </c>
    </row>
    <row r="512" spans="1:23">
      <c r="A512" s="12"/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5"/>
      <c r="V512" s="16" t="str">
        <f t="shared" si="14"/>
        <v/>
      </c>
      <c r="W512" s="16" t="str">
        <f t="shared" si="15"/>
        <v/>
      </c>
    </row>
    <row r="513" spans="1:23">
      <c r="A513" s="12"/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5"/>
      <c r="V513" s="16" t="str">
        <f t="shared" si="14"/>
        <v/>
      </c>
      <c r="W513" s="16" t="str">
        <f t="shared" si="15"/>
        <v/>
      </c>
    </row>
    <row r="514" spans="1:23">
      <c r="A514" s="12"/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5"/>
      <c r="V514" s="16" t="str">
        <f t="shared" si="14"/>
        <v/>
      </c>
      <c r="W514" s="16" t="str">
        <f t="shared" si="15"/>
        <v/>
      </c>
    </row>
    <row r="515" spans="1:23">
      <c r="A515" s="12"/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5"/>
      <c r="V515" s="16" t="str">
        <f t="shared" si="14"/>
        <v/>
      </c>
      <c r="W515" s="16" t="str">
        <f t="shared" si="15"/>
        <v/>
      </c>
    </row>
    <row r="516" spans="1:23">
      <c r="A516" s="12"/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5"/>
      <c r="V516" s="16" t="str">
        <f t="shared" si="14"/>
        <v/>
      </c>
      <c r="W516" s="16" t="str">
        <f t="shared" si="15"/>
        <v/>
      </c>
    </row>
    <row r="517" spans="1:23">
      <c r="A517" s="12"/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5"/>
      <c r="V517" s="16" t="str">
        <f t="shared" si="14"/>
        <v/>
      </c>
      <c r="W517" s="16" t="str">
        <f t="shared" si="15"/>
        <v/>
      </c>
    </row>
    <row r="518" spans="1:23">
      <c r="A518" s="12"/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5"/>
      <c r="V518" s="16" t="str">
        <f t="shared" si="14"/>
        <v/>
      </c>
      <c r="W518" s="16" t="str">
        <f t="shared" si="15"/>
        <v/>
      </c>
    </row>
    <row r="519" spans="1:23">
      <c r="A519" s="12"/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5"/>
      <c r="V519" s="16" t="str">
        <f t="shared" ref="V519:V582" si="16">IF(COUNTA($A519:$U519)=0,"",SUM($C519:$G519)-SUM($H519:$I519)-$J519+$K519-$L519-$M519+SUM($N519:$Q519))</f>
        <v/>
      </c>
      <c r="W519" s="16" t="str">
        <f t="shared" ref="W519:W582" si="17">IF(COUNTA($A519:$U519)=0,"",$C519-SUM($R519:$T519))</f>
        <v/>
      </c>
    </row>
    <row r="520" spans="1:23">
      <c r="A520" s="12"/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5"/>
      <c r="V520" s="16" t="str">
        <f t="shared" si="16"/>
        <v/>
      </c>
      <c r="W520" s="16" t="str">
        <f t="shared" si="17"/>
        <v/>
      </c>
    </row>
    <row r="521" spans="1:23">
      <c r="A521" s="12"/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5"/>
      <c r="V521" s="16" t="str">
        <f t="shared" si="16"/>
        <v/>
      </c>
      <c r="W521" s="16" t="str">
        <f t="shared" si="17"/>
        <v/>
      </c>
    </row>
    <row r="522" spans="1:23">
      <c r="A522" s="12"/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5"/>
      <c r="V522" s="16" t="str">
        <f t="shared" si="16"/>
        <v/>
      </c>
      <c r="W522" s="16" t="str">
        <f t="shared" si="17"/>
        <v/>
      </c>
    </row>
    <row r="523" spans="1:23">
      <c r="A523" s="12"/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5"/>
      <c r="V523" s="16" t="str">
        <f t="shared" si="16"/>
        <v/>
      </c>
      <c r="W523" s="16" t="str">
        <f t="shared" si="17"/>
        <v/>
      </c>
    </row>
    <row r="524" spans="1:23">
      <c r="A524" s="12"/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5"/>
      <c r="V524" s="16" t="str">
        <f t="shared" si="16"/>
        <v/>
      </c>
      <c r="W524" s="16" t="str">
        <f t="shared" si="17"/>
        <v/>
      </c>
    </row>
    <row r="525" spans="1:23">
      <c r="A525" s="12"/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5"/>
      <c r="V525" s="16" t="str">
        <f t="shared" si="16"/>
        <v/>
      </c>
      <c r="W525" s="16" t="str">
        <f t="shared" si="17"/>
        <v/>
      </c>
    </row>
    <row r="526" spans="1:23">
      <c r="A526" s="12"/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5"/>
      <c r="V526" s="16" t="str">
        <f t="shared" si="16"/>
        <v/>
      </c>
      <c r="W526" s="16" t="str">
        <f t="shared" si="17"/>
        <v/>
      </c>
    </row>
    <row r="527" spans="1:23">
      <c r="A527" s="12"/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5"/>
      <c r="V527" s="16" t="str">
        <f t="shared" si="16"/>
        <v/>
      </c>
      <c r="W527" s="16" t="str">
        <f t="shared" si="17"/>
        <v/>
      </c>
    </row>
    <row r="528" spans="1:23">
      <c r="A528" s="12"/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5"/>
      <c r="V528" s="16" t="str">
        <f t="shared" si="16"/>
        <v/>
      </c>
      <c r="W528" s="16" t="str">
        <f t="shared" si="17"/>
        <v/>
      </c>
    </row>
    <row r="529" spans="1:23">
      <c r="A529" s="12"/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5"/>
      <c r="V529" s="16" t="str">
        <f t="shared" si="16"/>
        <v/>
      </c>
      <c r="W529" s="16" t="str">
        <f t="shared" si="17"/>
        <v/>
      </c>
    </row>
    <row r="530" spans="1:23">
      <c r="A530" s="12"/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5"/>
      <c r="V530" s="16" t="str">
        <f t="shared" si="16"/>
        <v/>
      </c>
      <c r="W530" s="16" t="str">
        <f t="shared" si="17"/>
        <v/>
      </c>
    </row>
    <row r="531" spans="1:23">
      <c r="A531" s="12"/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5"/>
      <c r="V531" s="16" t="str">
        <f t="shared" si="16"/>
        <v/>
      </c>
      <c r="W531" s="16" t="str">
        <f t="shared" si="17"/>
        <v/>
      </c>
    </row>
    <row r="532" spans="1:23">
      <c r="A532" s="12"/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5"/>
      <c r="V532" s="16" t="str">
        <f t="shared" si="16"/>
        <v/>
      </c>
      <c r="W532" s="16" t="str">
        <f t="shared" si="17"/>
        <v/>
      </c>
    </row>
    <row r="533" spans="1:23">
      <c r="A533" s="12"/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5"/>
      <c r="V533" s="16" t="str">
        <f t="shared" si="16"/>
        <v/>
      </c>
      <c r="W533" s="16" t="str">
        <f t="shared" si="17"/>
        <v/>
      </c>
    </row>
    <row r="534" spans="1:23">
      <c r="A534" s="12"/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5"/>
      <c r="V534" s="16" t="str">
        <f t="shared" si="16"/>
        <v/>
      </c>
      <c r="W534" s="16" t="str">
        <f t="shared" si="17"/>
        <v/>
      </c>
    </row>
    <row r="535" spans="1:23">
      <c r="A535" s="12"/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5"/>
      <c r="V535" s="16" t="str">
        <f t="shared" si="16"/>
        <v/>
      </c>
      <c r="W535" s="16" t="str">
        <f t="shared" si="17"/>
        <v/>
      </c>
    </row>
    <row r="536" spans="1:23">
      <c r="A536" s="12"/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5"/>
      <c r="V536" s="16" t="str">
        <f t="shared" si="16"/>
        <v/>
      </c>
      <c r="W536" s="16" t="str">
        <f t="shared" si="17"/>
        <v/>
      </c>
    </row>
    <row r="537" spans="1:23">
      <c r="A537" s="12"/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5"/>
      <c r="V537" s="16" t="str">
        <f t="shared" si="16"/>
        <v/>
      </c>
      <c r="W537" s="16" t="str">
        <f t="shared" si="17"/>
        <v/>
      </c>
    </row>
    <row r="538" spans="1:23">
      <c r="A538" s="12"/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5"/>
      <c r="V538" s="16" t="str">
        <f t="shared" si="16"/>
        <v/>
      </c>
      <c r="W538" s="16" t="str">
        <f t="shared" si="17"/>
        <v/>
      </c>
    </row>
    <row r="539" spans="1:23">
      <c r="A539" s="12"/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5"/>
      <c r="V539" s="16" t="str">
        <f t="shared" si="16"/>
        <v/>
      </c>
      <c r="W539" s="16" t="str">
        <f t="shared" si="17"/>
        <v/>
      </c>
    </row>
    <row r="540" spans="1:23">
      <c r="A540" s="12"/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5"/>
      <c r="V540" s="16" t="str">
        <f t="shared" si="16"/>
        <v/>
      </c>
      <c r="W540" s="16" t="str">
        <f t="shared" si="17"/>
        <v/>
      </c>
    </row>
    <row r="541" spans="1:23">
      <c r="A541" s="12"/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5"/>
      <c r="V541" s="16" t="str">
        <f t="shared" si="16"/>
        <v/>
      </c>
      <c r="W541" s="16" t="str">
        <f t="shared" si="17"/>
        <v/>
      </c>
    </row>
    <row r="542" spans="1:23">
      <c r="A542" s="12"/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5"/>
      <c r="V542" s="16" t="str">
        <f t="shared" si="16"/>
        <v/>
      </c>
      <c r="W542" s="16" t="str">
        <f t="shared" si="17"/>
        <v/>
      </c>
    </row>
    <row r="543" spans="1:23">
      <c r="A543" s="12"/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5"/>
      <c r="V543" s="16" t="str">
        <f t="shared" si="16"/>
        <v/>
      </c>
      <c r="W543" s="16" t="str">
        <f t="shared" si="17"/>
        <v/>
      </c>
    </row>
    <row r="544" spans="1:23">
      <c r="A544" s="12"/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5"/>
      <c r="V544" s="16" t="str">
        <f t="shared" si="16"/>
        <v/>
      </c>
      <c r="W544" s="16" t="str">
        <f t="shared" si="17"/>
        <v/>
      </c>
    </row>
    <row r="545" spans="1:23">
      <c r="A545" s="12"/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5"/>
      <c r="V545" s="16" t="str">
        <f t="shared" si="16"/>
        <v/>
      </c>
      <c r="W545" s="16" t="str">
        <f t="shared" si="17"/>
        <v/>
      </c>
    </row>
    <row r="546" spans="1:23">
      <c r="A546" s="12"/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5"/>
      <c r="V546" s="16" t="str">
        <f t="shared" si="16"/>
        <v/>
      </c>
      <c r="W546" s="16" t="str">
        <f t="shared" si="17"/>
        <v/>
      </c>
    </row>
    <row r="547" spans="1:23">
      <c r="A547" s="12"/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5"/>
      <c r="V547" s="16" t="str">
        <f t="shared" si="16"/>
        <v/>
      </c>
      <c r="W547" s="16" t="str">
        <f t="shared" si="17"/>
        <v/>
      </c>
    </row>
    <row r="548" spans="1:23">
      <c r="A548" s="12"/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5"/>
      <c r="V548" s="16" t="str">
        <f t="shared" si="16"/>
        <v/>
      </c>
      <c r="W548" s="16" t="str">
        <f t="shared" si="17"/>
        <v/>
      </c>
    </row>
    <row r="549" spans="1:23">
      <c r="A549" s="12"/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5"/>
      <c r="V549" s="16" t="str">
        <f t="shared" si="16"/>
        <v/>
      </c>
      <c r="W549" s="16" t="str">
        <f t="shared" si="17"/>
        <v/>
      </c>
    </row>
    <row r="550" spans="1:23">
      <c r="A550" s="12"/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5"/>
      <c r="V550" s="16" t="str">
        <f t="shared" si="16"/>
        <v/>
      </c>
      <c r="W550" s="16" t="str">
        <f t="shared" si="17"/>
        <v/>
      </c>
    </row>
    <row r="551" spans="1:23">
      <c r="A551" s="12"/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5"/>
      <c r="V551" s="16" t="str">
        <f t="shared" si="16"/>
        <v/>
      </c>
      <c r="W551" s="16" t="str">
        <f t="shared" si="17"/>
        <v/>
      </c>
    </row>
    <row r="552" spans="1:23">
      <c r="A552" s="12"/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5"/>
      <c r="V552" s="16" t="str">
        <f t="shared" si="16"/>
        <v/>
      </c>
      <c r="W552" s="16" t="str">
        <f t="shared" si="17"/>
        <v/>
      </c>
    </row>
    <row r="553" spans="1:23">
      <c r="A553" s="12"/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5"/>
      <c r="V553" s="16" t="str">
        <f t="shared" si="16"/>
        <v/>
      </c>
      <c r="W553" s="16" t="str">
        <f t="shared" si="17"/>
        <v/>
      </c>
    </row>
    <row r="554" spans="1:23">
      <c r="A554" s="12"/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5"/>
      <c r="V554" s="16" t="str">
        <f t="shared" si="16"/>
        <v/>
      </c>
      <c r="W554" s="16" t="str">
        <f t="shared" si="17"/>
        <v/>
      </c>
    </row>
    <row r="555" spans="1:23">
      <c r="A555" s="12"/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5"/>
      <c r="V555" s="16" t="str">
        <f t="shared" si="16"/>
        <v/>
      </c>
      <c r="W555" s="16" t="str">
        <f t="shared" si="17"/>
        <v/>
      </c>
    </row>
    <row r="556" spans="1:23">
      <c r="A556" s="12"/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5"/>
      <c r="V556" s="16" t="str">
        <f t="shared" si="16"/>
        <v/>
      </c>
      <c r="W556" s="16" t="str">
        <f t="shared" si="17"/>
        <v/>
      </c>
    </row>
    <row r="557" spans="1:23">
      <c r="A557" s="12"/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5"/>
      <c r="V557" s="16" t="str">
        <f t="shared" si="16"/>
        <v/>
      </c>
      <c r="W557" s="16" t="str">
        <f t="shared" si="17"/>
        <v/>
      </c>
    </row>
    <row r="558" spans="1:23">
      <c r="A558" s="12"/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5"/>
      <c r="V558" s="16" t="str">
        <f t="shared" si="16"/>
        <v/>
      </c>
      <c r="W558" s="16" t="str">
        <f t="shared" si="17"/>
        <v/>
      </c>
    </row>
    <row r="559" spans="1:23">
      <c r="A559" s="12"/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5"/>
      <c r="V559" s="16" t="str">
        <f t="shared" si="16"/>
        <v/>
      </c>
      <c r="W559" s="16" t="str">
        <f t="shared" si="17"/>
        <v/>
      </c>
    </row>
    <row r="560" spans="1:23">
      <c r="A560" s="12"/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5"/>
      <c r="V560" s="16" t="str">
        <f t="shared" si="16"/>
        <v/>
      </c>
      <c r="W560" s="16" t="str">
        <f t="shared" si="17"/>
        <v/>
      </c>
    </row>
    <row r="561" spans="1:23">
      <c r="A561" s="12"/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5"/>
      <c r="V561" s="16" t="str">
        <f t="shared" si="16"/>
        <v/>
      </c>
      <c r="W561" s="16" t="str">
        <f t="shared" si="17"/>
        <v/>
      </c>
    </row>
    <row r="562" spans="1:23">
      <c r="A562" s="12"/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5"/>
      <c r="V562" s="16" t="str">
        <f t="shared" si="16"/>
        <v/>
      </c>
      <c r="W562" s="16" t="str">
        <f t="shared" si="17"/>
        <v/>
      </c>
    </row>
    <row r="563" spans="1:23">
      <c r="A563" s="12"/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5"/>
      <c r="V563" s="16" t="str">
        <f t="shared" si="16"/>
        <v/>
      </c>
      <c r="W563" s="16" t="str">
        <f t="shared" si="17"/>
        <v/>
      </c>
    </row>
    <row r="564" spans="1:23">
      <c r="A564" s="12"/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5"/>
      <c r="V564" s="16" t="str">
        <f t="shared" si="16"/>
        <v/>
      </c>
      <c r="W564" s="16" t="str">
        <f t="shared" si="17"/>
        <v/>
      </c>
    </row>
    <row r="565" spans="1:23">
      <c r="A565" s="12"/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5"/>
      <c r="V565" s="16" t="str">
        <f t="shared" si="16"/>
        <v/>
      </c>
      <c r="W565" s="16" t="str">
        <f t="shared" si="17"/>
        <v/>
      </c>
    </row>
    <row r="566" spans="1:23">
      <c r="A566" s="12"/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5"/>
      <c r="V566" s="16" t="str">
        <f t="shared" si="16"/>
        <v/>
      </c>
      <c r="W566" s="16" t="str">
        <f t="shared" si="17"/>
        <v/>
      </c>
    </row>
    <row r="567" spans="1:23">
      <c r="A567" s="12"/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5"/>
      <c r="V567" s="16" t="str">
        <f t="shared" si="16"/>
        <v/>
      </c>
      <c r="W567" s="16" t="str">
        <f t="shared" si="17"/>
        <v/>
      </c>
    </row>
    <row r="568" spans="1:23">
      <c r="A568" s="12"/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5"/>
      <c r="V568" s="16" t="str">
        <f t="shared" si="16"/>
        <v/>
      </c>
      <c r="W568" s="16" t="str">
        <f t="shared" si="17"/>
        <v/>
      </c>
    </row>
    <row r="569" spans="1:23">
      <c r="A569" s="12"/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5"/>
      <c r="V569" s="16" t="str">
        <f t="shared" si="16"/>
        <v/>
      </c>
      <c r="W569" s="16" t="str">
        <f t="shared" si="17"/>
        <v/>
      </c>
    </row>
    <row r="570" spans="1:23">
      <c r="A570" s="12"/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5"/>
      <c r="V570" s="16" t="str">
        <f t="shared" si="16"/>
        <v/>
      </c>
      <c r="W570" s="16" t="str">
        <f t="shared" si="17"/>
        <v/>
      </c>
    </row>
    <row r="571" spans="1:23">
      <c r="A571" s="12"/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5"/>
      <c r="V571" s="16" t="str">
        <f t="shared" si="16"/>
        <v/>
      </c>
      <c r="W571" s="16" t="str">
        <f t="shared" si="17"/>
        <v/>
      </c>
    </row>
    <row r="572" spans="1:23">
      <c r="A572" s="12"/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5"/>
      <c r="V572" s="16" t="str">
        <f t="shared" si="16"/>
        <v/>
      </c>
      <c r="W572" s="16" t="str">
        <f t="shared" si="17"/>
        <v/>
      </c>
    </row>
    <row r="573" spans="1:23">
      <c r="A573" s="12"/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5"/>
      <c r="V573" s="16" t="str">
        <f t="shared" si="16"/>
        <v/>
      </c>
      <c r="W573" s="16" t="str">
        <f t="shared" si="17"/>
        <v/>
      </c>
    </row>
    <row r="574" spans="1:23">
      <c r="A574" s="12"/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5"/>
      <c r="V574" s="16" t="str">
        <f t="shared" si="16"/>
        <v/>
      </c>
      <c r="W574" s="16" t="str">
        <f t="shared" si="17"/>
        <v/>
      </c>
    </row>
    <row r="575" spans="1:23">
      <c r="A575" s="12"/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5"/>
      <c r="V575" s="16" t="str">
        <f t="shared" si="16"/>
        <v/>
      </c>
      <c r="W575" s="16" t="str">
        <f t="shared" si="17"/>
        <v/>
      </c>
    </row>
    <row r="576" spans="1:23">
      <c r="A576" s="12"/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5"/>
      <c r="V576" s="16" t="str">
        <f t="shared" si="16"/>
        <v/>
      </c>
      <c r="W576" s="16" t="str">
        <f t="shared" si="17"/>
        <v/>
      </c>
    </row>
    <row r="577" spans="1:23">
      <c r="A577" s="12"/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5"/>
      <c r="V577" s="16" t="str">
        <f t="shared" si="16"/>
        <v/>
      </c>
      <c r="W577" s="16" t="str">
        <f t="shared" si="17"/>
        <v/>
      </c>
    </row>
    <row r="578" spans="1:23">
      <c r="A578" s="12"/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5"/>
      <c r="V578" s="16" t="str">
        <f t="shared" si="16"/>
        <v/>
      </c>
      <c r="W578" s="16" t="str">
        <f t="shared" si="17"/>
        <v/>
      </c>
    </row>
    <row r="579" spans="1:23">
      <c r="A579" s="12"/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5"/>
      <c r="V579" s="16" t="str">
        <f t="shared" si="16"/>
        <v/>
      </c>
      <c r="W579" s="16" t="str">
        <f t="shared" si="17"/>
        <v/>
      </c>
    </row>
    <row r="580" spans="1:23">
      <c r="A580" s="12"/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5"/>
      <c r="V580" s="16" t="str">
        <f t="shared" si="16"/>
        <v/>
      </c>
      <c r="W580" s="16" t="str">
        <f t="shared" si="17"/>
        <v/>
      </c>
    </row>
    <row r="581" spans="1:23">
      <c r="A581" s="12"/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5"/>
      <c r="V581" s="16" t="str">
        <f t="shared" si="16"/>
        <v/>
      </c>
      <c r="W581" s="16" t="str">
        <f t="shared" si="17"/>
        <v/>
      </c>
    </row>
    <row r="582" spans="1:23">
      <c r="A582" s="12"/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5"/>
      <c r="V582" s="16" t="str">
        <f t="shared" si="16"/>
        <v/>
      </c>
      <c r="W582" s="16" t="str">
        <f t="shared" si="17"/>
        <v/>
      </c>
    </row>
    <row r="583" spans="1:23">
      <c r="A583" s="12"/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5"/>
      <c r="V583" s="16" t="str">
        <f t="shared" ref="V583:V646" si="18">IF(COUNTA($A583:$U583)=0,"",SUM($C583:$G583)-SUM($H583:$I583)-$J583+$K583-$L583-$M583+SUM($N583:$Q583))</f>
        <v/>
      </c>
      <c r="W583" s="16" t="str">
        <f t="shared" ref="W583:W646" si="19">IF(COUNTA($A583:$U583)=0,"",$C583-SUM($R583:$T583))</f>
        <v/>
      </c>
    </row>
    <row r="584" spans="1:23">
      <c r="A584" s="12"/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5"/>
      <c r="V584" s="16" t="str">
        <f t="shared" si="18"/>
        <v/>
      </c>
      <c r="W584" s="16" t="str">
        <f t="shared" si="19"/>
        <v/>
      </c>
    </row>
    <row r="585" spans="1:23">
      <c r="A585" s="12"/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5"/>
      <c r="V585" s="16" t="str">
        <f t="shared" si="18"/>
        <v/>
      </c>
      <c r="W585" s="16" t="str">
        <f t="shared" si="19"/>
        <v/>
      </c>
    </row>
    <row r="586" spans="1:23">
      <c r="A586" s="12"/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5"/>
      <c r="V586" s="16" t="str">
        <f t="shared" si="18"/>
        <v/>
      </c>
      <c r="W586" s="16" t="str">
        <f t="shared" si="19"/>
        <v/>
      </c>
    </row>
    <row r="587" spans="1:23">
      <c r="A587" s="12"/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5"/>
      <c r="V587" s="16" t="str">
        <f t="shared" si="18"/>
        <v/>
      </c>
      <c r="W587" s="16" t="str">
        <f t="shared" si="19"/>
        <v/>
      </c>
    </row>
    <row r="588" spans="1:23">
      <c r="A588" s="12"/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5"/>
      <c r="V588" s="16" t="str">
        <f t="shared" si="18"/>
        <v/>
      </c>
      <c r="W588" s="16" t="str">
        <f t="shared" si="19"/>
        <v/>
      </c>
    </row>
    <row r="589" spans="1:23">
      <c r="A589" s="12"/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5"/>
      <c r="V589" s="16" t="str">
        <f t="shared" si="18"/>
        <v/>
      </c>
      <c r="W589" s="16" t="str">
        <f t="shared" si="19"/>
        <v/>
      </c>
    </row>
    <row r="590" spans="1:23">
      <c r="A590" s="12"/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5"/>
      <c r="V590" s="16" t="str">
        <f t="shared" si="18"/>
        <v/>
      </c>
      <c r="W590" s="16" t="str">
        <f t="shared" si="19"/>
        <v/>
      </c>
    </row>
    <row r="591" spans="1:23">
      <c r="A591" s="12"/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5"/>
      <c r="V591" s="16" t="str">
        <f t="shared" si="18"/>
        <v/>
      </c>
      <c r="W591" s="16" t="str">
        <f t="shared" si="19"/>
        <v/>
      </c>
    </row>
    <row r="592" spans="1:23">
      <c r="A592" s="12"/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5"/>
      <c r="V592" s="16" t="str">
        <f t="shared" si="18"/>
        <v/>
      </c>
      <c r="W592" s="16" t="str">
        <f t="shared" si="19"/>
        <v/>
      </c>
    </row>
    <row r="593" spans="1:23">
      <c r="A593" s="12"/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5"/>
      <c r="V593" s="16" t="str">
        <f t="shared" si="18"/>
        <v/>
      </c>
      <c r="W593" s="16" t="str">
        <f t="shared" si="19"/>
        <v/>
      </c>
    </row>
    <row r="594" spans="1:23">
      <c r="A594" s="12"/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5"/>
      <c r="V594" s="16" t="str">
        <f t="shared" si="18"/>
        <v/>
      </c>
      <c r="W594" s="16" t="str">
        <f t="shared" si="19"/>
        <v/>
      </c>
    </row>
    <row r="595" spans="1:23">
      <c r="A595" s="12"/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5"/>
      <c r="V595" s="16" t="str">
        <f t="shared" si="18"/>
        <v/>
      </c>
      <c r="W595" s="16" t="str">
        <f t="shared" si="19"/>
        <v/>
      </c>
    </row>
    <row r="596" spans="1:23">
      <c r="A596" s="12"/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5"/>
      <c r="V596" s="16" t="str">
        <f t="shared" si="18"/>
        <v/>
      </c>
      <c r="W596" s="16" t="str">
        <f t="shared" si="19"/>
        <v/>
      </c>
    </row>
    <row r="597" spans="1:23">
      <c r="A597" s="12"/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5"/>
      <c r="V597" s="16" t="str">
        <f t="shared" si="18"/>
        <v/>
      </c>
      <c r="W597" s="16" t="str">
        <f t="shared" si="19"/>
        <v/>
      </c>
    </row>
    <row r="598" spans="1:23">
      <c r="A598" s="12"/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5"/>
      <c r="V598" s="16" t="str">
        <f t="shared" si="18"/>
        <v/>
      </c>
      <c r="W598" s="16" t="str">
        <f t="shared" si="19"/>
        <v/>
      </c>
    </row>
    <row r="599" spans="1:23">
      <c r="A599" s="12"/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5"/>
      <c r="V599" s="16" t="str">
        <f t="shared" si="18"/>
        <v/>
      </c>
      <c r="W599" s="16" t="str">
        <f t="shared" si="19"/>
        <v/>
      </c>
    </row>
    <row r="600" spans="1:23">
      <c r="A600" s="12"/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5"/>
      <c r="V600" s="16" t="str">
        <f t="shared" si="18"/>
        <v/>
      </c>
      <c r="W600" s="16" t="str">
        <f t="shared" si="19"/>
        <v/>
      </c>
    </row>
    <row r="601" spans="1:23">
      <c r="A601" s="12"/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5"/>
      <c r="V601" s="16" t="str">
        <f t="shared" si="18"/>
        <v/>
      </c>
      <c r="W601" s="16" t="str">
        <f t="shared" si="19"/>
        <v/>
      </c>
    </row>
    <row r="602" spans="1:23">
      <c r="A602" s="12"/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5"/>
      <c r="V602" s="16" t="str">
        <f t="shared" si="18"/>
        <v/>
      </c>
      <c r="W602" s="16" t="str">
        <f t="shared" si="19"/>
        <v/>
      </c>
    </row>
    <row r="603" spans="1:23">
      <c r="A603" s="12"/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5"/>
      <c r="V603" s="16" t="str">
        <f t="shared" si="18"/>
        <v/>
      </c>
      <c r="W603" s="16" t="str">
        <f t="shared" si="19"/>
        <v/>
      </c>
    </row>
    <row r="604" spans="1:23">
      <c r="A604" s="12"/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5"/>
      <c r="V604" s="16" t="str">
        <f t="shared" si="18"/>
        <v/>
      </c>
      <c r="W604" s="16" t="str">
        <f t="shared" si="19"/>
        <v/>
      </c>
    </row>
    <row r="605" spans="1:23">
      <c r="A605" s="12"/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5"/>
      <c r="V605" s="16" t="str">
        <f t="shared" si="18"/>
        <v/>
      </c>
      <c r="W605" s="16" t="str">
        <f t="shared" si="19"/>
        <v/>
      </c>
    </row>
    <row r="606" spans="1:23">
      <c r="A606" s="12"/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5"/>
      <c r="V606" s="16" t="str">
        <f t="shared" si="18"/>
        <v/>
      </c>
      <c r="W606" s="16" t="str">
        <f t="shared" si="19"/>
        <v/>
      </c>
    </row>
    <row r="607" spans="1:23">
      <c r="A607" s="12"/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5"/>
      <c r="V607" s="16" t="str">
        <f t="shared" si="18"/>
        <v/>
      </c>
      <c r="W607" s="16" t="str">
        <f t="shared" si="19"/>
        <v/>
      </c>
    </row>
    <row r="608" spans="1:23">
      <c r="A608" s="12"/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5"/>
      <c r="V608" s="16" t="str">
        <f t="shared" si="18"/>
        <v/>
      </c>
      <c r="W608" s="16" t="str">
        <f t="shared" si="19"/>
        <v/>
      </c>
    </row>
    <row r="609" spans="1:23">
      <c r="A609" s="12"/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5"/>
      <c r="V609" s="16" t="str">
        <f t="shared" si="18"/>
        <v/>
      </c>
      <c r="W609" s="16" t="str">
        <f t="shared" si="19"/>
        <v/>
      </c>
    </row>
    <row r="610" spans="1:23">
      <c r="A610" s="12"/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5"/>
      <c r="V610" s="16" t="str">
        <f t="shared" si="18"/>
        <v/>
      </c>
      <c r="W610" s="16" t="str">
        <f t="shared" si="19"/>
        <v/>
      </c>
    </row>
    <row r="611" spans="1:23">
      <c r="A611" s="12"/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5"/>
      <c r="V611" s="16" t="str">
        <f t="shared" si="18"/>
        <v/>
      </c>
      <c r="W611" s="16" t="str">
        <f t="shared" si="19"/>
        <v/>
      </c>
    </row>
    <row r="612" spans="1:23">
      <c r="A612" s="12"/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5"/>
      <c r="V612" s="16" t="str">
        <f t="shared" si="18"/>
        <v/>
      </c>
      <c r="W612" s="16" t="str">
        <f t="shared" si="19"/>
        <v/>
      </c>
    </row>
    <row r="613" spans="1:23">
      <c r="A613" s="12"/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5"/>
      <c r="V613" s="16" t="str">
        <f t="shared" si="18"/>
        <v/>
      </c>
      <c r="W613" s="16" t="str">
        <f t="shared" si="19"/>
        <v/>
      </c>
    </row>
    <row r="614" spans="1:23">
      <c r="A614" s="12"/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5"/>
      <c r="V614" s="16" t="str">
        <f t="shared" si="18"/>
        <v/>
      </c>
      <c r="W614" s="16" t="str">
        <f t="shared" si="19"/>
        <v/>
      </c>
    </row>
    <row r="615" spans="1:23">
      <c r="A615" s="12"/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5"/>
      <c r="V615" s="16" t="str">
        <f t="shared" si="18"/>
        <v/>
      </c>
      <c r="W615" s="16" t="str">
        <f t="shared" si="19"/>
        <v/>
      </c>
    </row>
    <row r="616" spans="1:23">
      <c r="A616" s="12"/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5"/>
      <c r="V616" s="16" t="str">
        <f t="shared" si="18"/>
        <v/>
      </c>
      <c r="W616" s="16" t="str">
        <f t="shared" si="19"/>
        <v/>
      </c>
    </row>
    <row r="617" spans="1:23">
      <c r="A617" s="12"/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5"/>
      <c r="V617" s="16" t="str">
        <f t="shared" si="18"/>
        <v/>
      </c>
      <c r="W617" s="16" t="str">
        <f t="shared" si="19"/>
        <v/>
      </c>
    </row>
    <row r="618" spans="1:23">
      <c r="A618" s="12"/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5"/>
      <c r="V618" s="16" t="str">
        <f t="shared" si="18"/>
        <v/>
      </c>
      <c r="W618" s="16" t="str">
        <f t="shared" si="19"/>
        <v/>
      </c>
    </row>
    <row r="619" spans="1:23">
      <c r="A619" s="12"/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5"/>
      <c r="V619" s="16" t="str">
        <f t="shared" si="18"/>
        <v/>
      </c>
      <c r="W619" s="16" t="str">
        <f t="shared" si="19"/>
        <v/>
      </c>
    </row>
    <row r="620" spans="1:23">
      <c r="A620" s="12"/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5"/>
      <c r="V620" s="16" t="str">
        <f t="shared" si="18"/>
        <v/>
      </c>
      <c r="W620" s="16" t="str">
        <f t="shared" si="19"/>
        <v/>
      </c>
    </row>
    <row r="621" spans="1:23">
      <c r="A621" s="12"/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5"/>
      <c r="V621" s="16" t="str">
        <f t="shared" si="18"/>
        <v/>
      </c>
      <c r="W621" s="16" t="str">
        <f t="shared" si="19"/>
        <v/>
      </c>
    </row>
    <row r="622" spans="1:23">
      <c r="A622" s="12"/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5"/>
      <c r="V622" s="16" t="str">
        <f t="shared" si="18"/>
        <v/>
      </c>
      <c r="W622" s="16" t="str">
        <f t="shared" si="19"/>
        <v/>
      </c>
    </row>
    <row r="623" spans="1:23">
      <c r="A623" s="12"/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5"/>
      <c r="V623" s="16" t="str">
        <f t="shared" si="18"/>
        <v/>
      </c>
      <c r="W623" s="16" t="str">
        <f t="shared" si="19"/>
        <v/>
      </c>
    </row>
    <row r="624" spans="1:23">
      <c r="A624" s="12"/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5"/>
      <c r="V624" s="16" t="str">
        <f t="shared" si="18"/>
        <v/>
      </c>
      <c r="W624" s="16" t="str">
        <f t="shared" si="19"/>
        <v/>
      </c>
    </row>
    <row r="625" spans="1:23">
      <c r="A625" s="12"/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5"/>
      <c r="V625" s="16" t="str">
        <f t="shared" si="18"/>
        <v/>
      </c>
      <c r="W625" s="16" t="str">
        <f t="shared" si="19"/>
        <v/>
      </c>
    </row>
    <row r="626" spans="1:23">
      <c r="A626" s="12"/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5"/>
      <c r="V626" s="16" t="str">
        <f t="shared" si="18"/>
        <v/>
      </c>
      <c r="W626" s="16" t="str">
        <f t="shared" si="19"/>
        <v/>
      </c>
    </row>
    <row r="627" spans="1:23">
      <c r="A627" s="12"/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5"/>
      <c r="V627" s="16" t="str">
        <f t="shared" si="18"/>
        <v/>
      </c>
      <c r="W627" s="16" t="str">
        <f t="shared" si="19"/>
        <v/>
      </c>
    </row>
    <row r="628" spans="1:23">
      <c r="A628" s="12"/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5"/>
      <c r="V628" s="16" t="str">
        <f t="shared" si="18"/>
        <v/>
      </c>
      <c r="W628" s="16" t="str">
        <f t="shared" si="19"/>
        <v/>
      </c>
    </row>
    <row r="629" spans="1:23">
      <c r="A629" s="12"/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5"/>
      <c r="V629" s="16" t="str">
        <f t="shared" si="18"/>
        <v/>
      </c>
      <c r="W629" s="16" t="str">
        <f t="shared" si="19"/>
        <v/>
      </c>
    </row>
    <row r="630" spans="1:23">
      <c r="A630" s="12"/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5"/>
      <c r="V630" s="16" t="str">
        <f t="shared" si="18"/>
        <v/>
      </c>
      <c r="W630" s="16" t="str">
        <f t="shared" si="19"/>
        <v/>
      </c>
    </row>
    <row r="631" spans="1:23">
      <c r="A631" s="12"/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5"/>
      <c r="V631" s="16" t="str">
        <f t="shared" si="18"/>
        <v/>
      </c>
      <c r="W631" s="16" t="str">
        <f t="shared" si="19"/>
        <v/>
      </c>
    </row>
    <row r="632" spans="1:23">
      <c r="A632" s="12"/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5"/>
      <c r="V632" s="16" t="str">
        <f t="shared" si="18"/>
        <v/>
      </c>
      <c r="W632" s="16" t="str">
        <f t="shared" si="19"/>
        <v/>
      </c>
    </row>
    <row r="633" spans="1:23">
      <c r="A633" s="12"/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5"/>
      <c r="V633" s="16" t="str">
        <f t="shared" si="18"/>
        <v/>
      </c>
      <c r="W633" s="16" t="str">
        <f t="shared" si="19"/>
        <v/>
      </c>
    </row>
    <row r="634" spans="1:23">
      <c r="A634" s="12"/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/>
      <c r="V634" s="16" t="str">
        <f t="shared" si="18"/>
        <v/>
      </c>
      <c r="W634" s="16" t="str">
        <f t="shared" si="19"/>
        <v/>
      </c>
    </row>
    <row r="635" spans="1:23">
      <c r="A635" s="12"/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5"/>
      <c r="V635" s="16" t="str">
        <f t="shared" si="18"/>
        <v/>
      </c>
      <c r="W635" s="16" t="str">
        <f t="shared" si="19"/>
        <v/>
      </c>
    </row>
    <row r="636" spans="1:23">
      <c r="A636" s="12"/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5"/>
      <c r="V636" s="16" t="str">
        <f t="shared" si="18"/>
        <v/>
      </c>
      <c r="W636" s="16" t="str">
        <f t="shared" si="19"/>
        <v/>
      </c>
    </row>
    <row r="637" spans="1:23">
      <c r="A637" s="12"/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5"/>
      <c r="V637" s="16" t="str">
        <f t="shared" si="18"/>
        <v/>
      </c>
      <c r="W637" s="16" t="str">
        <f t="shared" si="19"/>
        <v/>
      </c>
    </row>
    <row r="638" spans="1:23">
      <c r="A638" s="12"/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5"/>
      <c r="V638" s="16" t="str">
        <f t="shared" si="18"/>
        <v/>
      </c>
      <c r="W638" s="16" t="str">
        <f t="shared" si="19"/>
        <v/>
      </c>
    </row>
    <row r="639" spans="1:23">
      <c r="A639" s="12"/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5"/>
      <c r="V639" s="16" t="str">
        <f t="shared" si="18"/>
        <v/>
      </c>
      <c r="W639" s="16" t="str">
        <f t="shared" si="19"/>
        <v/>
      </c>
    </row>
    <row r="640" spans="1:23">
      <c r="A640" s="12"/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5"/>
      <c r="V640" s="16" t="str">
        <f t="shared" si="18"/>
        <v/>
      </c>
      <c r="W640" s="16" t="str">
        <f t="shared" si="19"/>
        <v/>
      </c>
    </row>
    <row r="641" spans="1:23">
      <c r="A641" s="12"/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5"/>
      <c r="V641" s="16" t="str">
        <f t="shared" si="18"/>
        <v/>
      </c>
      <c r="W641" s="16" t="str">
        <f t="shared" si="19"/>
        <v/>
      </c>
    </row>
    <row r="642" spans="1:23">
      <c r="A642" s="12"/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5"/>
      <c r="V642" s="16" t="str">
        <f t="shared" si="18"/>
        <v/>
      </c>
      <c r="W642" s="16" t="str">
        <f t="shared" si="19"/>
        <v/>
      </c>
    </row>
    <row r="643" spans="1:23">
      <c r="A643" s="12"/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5"/>
      <c r="V643" s="16" t="str">
        <f t="shared" si="18"/>
        <v/>
      </c>
      <c r="W643" s="16" t="str">
        <f t="shared" si="19"/>
        <v/>
      </c>
    </row>
    <row r="644" spans="1:23">
      <c r="A644" s="12"/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5"/>
      <c r="V644" s="16" t="str">
        <f t="shared" si="18"/>
        <v/>
      </c>
      <c r="W644" s="16" t="str">
        <f t="shared" si="19"/>
        <v/>
      </c>
    </row>
    <row r="645" spans="1:23">
      <c r="A645" s="12"/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5"/>
      <c r="V645" s="16" t="str">
        <f t="shared" si="18"/>
        <v/>
      </c>
      <c r="W645" s="16" t="str">
        <f t="shared" si="19"/>
        <v/>
      </c>
    </row>
    <row r="646" spans="1:23">
      <c r="A646" s="12"/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5"/>
      <c r="V646" s="16" t="str">
        <f t="shared" si="18"/>
        <v/>
      </c>
      <c r="W646" s="16" t="str">
        <f t="shared" si="19"/>
        <v/>
      </c>
    </row>
    <row r="647" spans="1:23">
      <c r="A647" s="12"/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5"/>
      <c r="V647" s="16" t="str">
        <f t="shared" ref="V647:V710" si="20">IF(COUNTA($A647:$U647)=0,"",SUM($C647:$G647)-SUM($H647:$I647)-$J647+$K647-$L647-$M647+SUM($N647:$Q647))</f>
        <v/>
      </c>
      <c r="W647" s="16" t="str">
        <f t="shared" ref="W647:W710" si="21">IF(COUNTA($A647:$U647)=0,"",$C647-SUM($R647:$T647))</f>
        <v/>
      </c>
    </row>
    <row r="648" spans="1:23">
      <c r="A648" s="12"/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5"/>
      <c r="V648" s="16" t="str">
        <f t="shared" si="20"/>
        <v/>
      </c>
      <c r="W648" s="16" t="str">
        <f t="shared" si="21"/>
        <v/>
      </c>
    </row>
    <row r="649" spans="1:23">
      <c r="A649" s="12"/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5"/>
      <c r="V649" s="16" t="str">
        <f t="shared" si="20"/>
        <v/>
      </c>
      <c r="W649" s="16" t="str">
        <f t="shared" si="21"/>
        <v/>
      </c>
    </row>
    <row r="650" spans="1:23">
      <c r="A650" s="12"/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5"/>
      <c r="V650" s="16" t="str">
        <f t="shared" si="20"/>
        <v/>
      </c>
      <c r="W650" s="16" t="str">
        <f t="shared" si="21"/>
        <v/>
      </c>
    </row>
    <row r="651" spans="1:23">
      <c r="A651" s="12"/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5"/>
      <c r="V651" s="16" t="str">
        <f t="shared" si="20"/>
        <v/>
      </c>
      <c r="W651" s="16" t="str">
        <f t="shared" si="21"/>
        <v/>
      </c>
    </row>
    <row r="652" spans="1:23">
      <c r="A652" s="12"/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5"/>
      <c r="V652" s="16" t="str">
        <f t="shared" si="20"/>
        <v/>
      </c>
      <c r="W652" s="16" t="str">
        <f t="shared" si="21"/>
        <v/>
      </c>
    </row>
    <row r="653" spans="1:23">
      <c r="A653" s="12"/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5"/>
      <c r="V653" s="16" t="str">
        <f t="shared" si="20"/>
        <v/>
      </c>
      <c r="W653" s="16" t="str">
        <f t="shared" si="21"/>
        <v/>
      </c>
    </row>
    <row r="654" spans="1:23">
      <c r="A654" s="12"/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5"/>
      <c r="V654" s="16" t="str">
        <f t="shared" si="20"/>
        <v/>
      </c>
      <c r="W654" s="16" t="str">
        <f t="shared" si="21"/>
        <v/>
      </c>
    </row>
    <row r="655" spans="1:23">
      <c r="A655" s="12"/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5"/>
      <c r="V655" s="16" t="str">
        <f t="shared" si="20"/>
        <v/>
      </c>
      <c r="W655" s="16" t="str">
        <f t="shared" si="21"/>
        <v/>
      </c>
    </row>
    <row r="656" spans="1:23">
      <c r="A656" s="12"/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5"/>
      <c r="V656" s="16" t="str">
        <f t="shared" si="20"/>
        <v/>
      </c>
      <c r="W656" s="16" t="str">
        <f t="shared" si="21"/>
        <v/>
      </c>
    </row>
    <row r="657" spans="1:23">
      <c r="A657" s="12"/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5"/>
      <c r="V657" s="16" t="str">
        <f t="shared" si="20"/>
        <v/>
      </c>
      <c r="W657" s="16" t="str">
        <f t="shared" si="21"/>
        <v/>
      </c>
    </row>
    <row r="658" spans="1:23">
      <c r="A658" s="12"/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5"/>
      <c r="V658" s="16" t="str">
        <f t="shared" si="20"/>
        <v/>
      </c>
      <c r="W658" s="16" t="str">
        <f t="shared" si="21"/>
        <v/>
      </c>
    </row>
    <row r="659" spans="1:23">
      <c r="A659" s="12"/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5"/>
      <c r="V659" s="16" t="str">
        <f t="shared" si="20"/>
        <v/>
      </c>
      <c r="W659" s="16" t="str">
        <f t="shared" si="21"/>
        <v/>
      </c>
    </row>
    <row r="660" spans="1:23">
      <c r="A660" s="12"/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5"/>
      <c r="V660" s="16" t="str">
        <f t="shared" si="20"/>
        <v/>
      </c>
      <c r="W660" s="16" t="str">
        <f t="shared" si="21"/>
        <v/>
      </c>
    </row>
    <row r="661" spans="1:23">
      <c r="A661" s="12"/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5"/>
      <c r="V661" s="16" t="str">
        <f t="shared" si="20"/>
        <v/>
      </c>
      <c r="W661" s="16" t="str">
        <f t="shared" si="21"/>
        <v/>
      </c>
    </row>
    <row r="662" spans="1:23">
      <c r="A662" s="12"/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5"/>
      <c r="V662" s="16" t="str">
        <f t="shared" si="20"/>
        <v/>
      </c>
      <c r="W662" s="16" t="str">
        <f t="shared" si="21"/>
        <v/>
      </c>
    </row>
    <row r="663" spans="1:23">
      <c r="A663" s="12"/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5"/>
      <c r="V663" s="16" t="str">
        <f t="shared" si="20"/>
        <v/>
      </c>
      <c r="W663" s="16" t="str">
        <f t="shared" si="21"/>
        <v/>
      </c>
    </row>
    <row r="664" spans="1:23">
      <c r="A664" s="12"/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5"/>
      <c r="V664" s="16" t="str">
        <f t="shared" si="20"/>
        <v/>
      </c>
      <c r="W664" s="16" t="str">
        <f t="shared" si="21"/>
        <v/>
      </c>
    </row>
    <row r="665" spans="1:23">
      <c r="A665" s="12"/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5"/>
      <c r="V665" s="16" t="str">
        <f t="shared" si="20"/>
        <v/>
      </c>
      <c r="W665" s="16" t="str">
        <f t="shared" si="21"/>
        <v/>
      </c>
    </row>
    <row r="666" spans="1:23">
      <c r="A666" s="12"/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5"/>
      <c r="V666" s="16" t="str">
        <f t="shared" si="20"/>
        <v/>
      </c>
      <c r="W666" s="16" t="str">
        <f t="shared" si="21"/>
        <v/>
      </c>
    </row>
    <row r="667" spans="1:23">
      <c r="A667" s="12"/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5"/>
      <c r="V667" s="16" t="str">
        <f t="shared" si="20"/>
        <v/>
      </c>
      <c r="W667" s="16" t="str">
        <f t="shared" si="21"/>
        <v/>
      </c>
    </row>
    <row r="668" spans="1:23">
      <c r="A668" s="12"/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5"/>
      <c r="V668" s="16" t="str">
        <f t="shared" si="20"/>
        <v/>
      </c>
      <c r="W668" s="16" t="str">
        <f t="shared" si="21"/>
        <v/>
      </c>
    </row>
    <row r="669" spans="1:23">
      <c r="A669" s="12"/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5"/>
      <c r="V669" s="16" t="str">
        <f t="shared" si="20"/>
        <v/>
      </c>
      <c r="W669" s="16" t="str">
        <f t="shared" si="21"/>
        <v/>
      </c>
    </row>
    <row r="670" spans="1:23">
      <c r="A670" s="12"/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5"/>
      <c r="V670" s="16" t="str">
        <f t="shared" si="20"/>
        <v/>
      </c>
      <c r="W670" s="16" t="str">
        <f t="shared" si="21"/>
        <v/>
      </c>
    </row>
    <row r="671" spans="1:23">
      <c r="A671" s="12"/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5"/>
      <c r="V671" s="16" t="str">
        <f t="shared" si="20"/>
        <v/>
      </c>
      <c r="W671" s="16" t="str">
        <f t="shared" si="21"/>
        <v/>
      </c>
    </row>
    <row r="672" spans="1:23">
      <c r="A672" s="12"/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5"/>
      <c r="V672" s="16" t="str">
        <f t="shared" si="20"/>
        <v/>
      </c>
      <c r="W672" s="16" t="str">
        <f t="shared" si="21"/>
        <v/>
      </c>
    </row>
    <row r="673" spans="1:23">
      <c r="A673" s="12"/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5"/>
      <c r="V673" s="16" t="str">
        <f t="shared" si="20"/>
        <v/>
      </c>
      <c r="W673" s="16" t="str">
        <f t="shared" si="21"/>
        <v/>
      </c>
    </row>
    <row r="674" spans="1:23">
      <c r="A674" s="12"/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5"/>
      <c r="V674" s="16" t="str">
        <f t="shared" si="20"/>
        <v/>
      </c>
      <c r="W674" s="16" t="str">
        <f t="shared" si="21"/>
        <v/>
      </c>
    </row>
    <row r="675" spans="1:23">
      <c r="A675" s="12"/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5"/>
      <c r="V675" s="16" t="str">
        <f t="shared" si="20"/>
        <v/>
      </c>
      <c r="W675" s="16" t="str">
        <f t="shared" si="21"/>
        <v/>
      </c>
    </row>
    <row r="676" spans="1:23">
      <c r="A676" s="12"/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5"/>
      <c r="V676" s="16" t="str">
        <f t="shared" si="20"/>
        <v/>
      </c>
      <c r="W676" s="16" t="str">
        <f t="shared" si="21"/>
        <v/>
      </c>
    </row>
    <row r="677" spans="1:23">
      <c r="A677" s="12"/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5"/>
      <c r="V677" s="16" t="str">
        <f t="shared" si="20"/>
        <v/>
      </c>
      <c r="W677" s="16" t="str">
        <f t="shared" si="21"/>
        <v/>
      </c>
    </row>
    <row r="678" spans="1:23">
      <c r="A678" s="12"/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5"/>
      <c r="V678" s="16" t="str">
        <f t="shared" si="20"/>
        <v/>
      </c>
      <c r="W678" s="16" t="str">
        <f t="shared" si="21"/>
        <v/>
      </c>
    </row>
    <row r="679" spans="1:23">
      <c r="A679" s="12"/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5"/>
      <c r="V679" s="16" t="str">
        <f t="shared" si="20"/>
        <v/>
      </c>
      <c r="W679" s="16" t="str">
        <f t="shared" si="21"/>
        <v/>
      </c>
    </row>
    <row r="680" spans="1:23">
      <c r="A680" s="12"/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5"/>
      <c r="V680" s="16" t="str">
        <f t="shared" si="20"/>
        <v/>
      </c>
      <c r="W680" s="16" t="str">
        <f t="shared" si="21"/>
        <v/>
      </c>
    </row>
    <row r="681" spans="1:23">
      <c r="A681" s="12"/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5"/>
      <c r="V681" s="16" t="str">
        <f t="shared" si="20"/>
        <v/>
      </c>
      <c r="W681" s="16" t="str">
        <f t="shared" si="21"/>
        <v/>
      </c>
    </row>
    <row r="682" spans="1:23">
      <c r="A682" s="12"/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5"/>
      <c r="V682" s="16" t="str">
        <f t="shared" si="20"/>
        <v/>
      </c>
      <c r="W682" s="16" t="str">
        <f t="shared" si="21"/>
        <v/>
      </c>
    </row>
    <row r="683" spans="1:23">
      <c r="A683" s="12"/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5"/>
      <c r="V683" s="16" t="str">
        <f t="shared" si="20"/>
        <v/>
      </c>
      <c r="W683" s="16" t="str">
        <f t="shared" si="21"/>
        <v/>
      </c>
    </row>
    <row r="684" spans="1:23">
      <c r="A684" s="12"/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5"/>
      <c r="V684" s="16" t="str">
        <f t="shared" si="20"/>
        <v/>
      </c>
      <c r="W684" s="16" t="str">
        <f t="shared" si="21"/>
        <v/>
      </c>
    </row>
    <row r="685" spans="1:23">
      <c r="A685" s="12"/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5"/>
      <c r="V685" s="16" t="str">
        <f t="shared" si="20"/>
        <v/>
      </c>
      <c r="W685" s="16" t="str">
        <f t="shared" si="21"/>
        <v/>
      </c>
    </row>
    <row r="686" spans="1:23">
      <c r="A686" s="12"/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5"/>
      <c r="V686" s="16" t="str">
        <f t="shared" si="20"/>
        <v/>
      </c>
      <c r="W686" s="16" t="str">
        <f t="shared" si="21"/>
        <v/>
      </c>
    </row>
    <row r="687" spans="1:23">
      <c r="A687" s="12"/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5"/>
      <c r="V687" s="16" t="str">
        <f t="shared" si="20"/>
        <v/>
      </c>
      <c r="W687" s="16" t="str">
        <f t="shared" si="21"/>
        <v/>
      </c>
    </row>
    <row r="688" spans="1:23">
      <c r="A688" s="12"/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5"/>
      <c r="V688" s="16" t="str">
        <f t="shared" si="20"/>
        <v/>
      </c>
      <c r="W688" s="16" t="str">
        <f t="shared" si="21"/>
        <v/>
      </c>
    </row>
    <row r="689" spans="1:23">
      <c r="A689" s="12"/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5"/>
      <c r="V689" s="16" t="str">
        <f t="shared" si="20"/>
        <v/>
      </c>
      <c r="W689" s="16" t="str">
        <f t="shared" si="21"/>
        <v/>
      </c>
    </row>
    <row r="690" spans="1:23">
      <c r="A690" s="12"/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5"/>
      <c r="V690" s="16" t="str">
        <f t="shared" si="20"/>
        <v/>
      </c>
      <c r="W690" s="16" t="str">
        <f t="shared" si="21"/>
        <v/>
      </c>
    </row>
    <row r="691" spans="1:23">
      <c r="A691" s="12"/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5"/>
      <c r="V691" s="16" t="str">
        <f t="shared" si="20"/>
        <v/>
      </c>
      <c r="W691" s="16" t="str">
        <f t="shared" si="21"/>
        <v/>
      </c>
    </row>
    <row r="692" spans="1:23">
      <c r="A692" s="12"/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5"/>
      <c r="V692" s="16" t="str">
        <f t="shared" si="20"/>
        <v/>
      </c>
      <c r="W692" s="16" t="str">
        <f t="shared" si="21"/>
        <v/>
      </c>
    </row>
    <row r="693" spans="1:23">
      <c r="A693" s="12"/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5"/>
      <c r="V693" s="16" t="str">
        <f t="shared" si="20"/>
        <v/>
      </c>
      <c r="W693" s="16" t="str">
        <f t="shared" si="21"/>
        <v/>
      </c>
    </row>
    <row r="694" spans="1:23">
      <c r="A694" s="12"/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5"/>
      <c r="V694" s="16" t="str">
        <f t="shared" si="20"/>
        <v/>
      </c>
      <c r="W694" s="16" t="str">
        <f t="shared" si="21"/>
        <v/>
      </c>
    </row>
    <row r="695" spans="1:23">
      <c r="A695" s="12"/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5"/>
      <c r="V695" s="16" t="str">
        <f t="shared" si="20"/>
        <v/>
      </c>
      <c r="W695" s="16" t="str">
        <f t="shared" si="21"/>
        <v/>
      </c>
    </row>
    <row r="696" spans="1:23">
      <c r="A696" s="12"/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5"/>
      <c r="V696" s="16" t="str">
        <f t="shared" si="20"/>
        <v/>
      </c>
      <c r="W696" s="16" t="str">
        <f t="shared" si="21"/>
        <v/>
      </c>
    </row>
    <row r="697" spans="1:23">
      <c r="A697" s="12"/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5"/>
      <c r="V697" s="16" t="str">
        <f t="shared" si="20"/>
        <v/>
      </c>
      <c r="W697" s="16" t="str">
        <f t="shared" si="21"/>
        <v/>
      </c>
    </row>
    <row r="698" spans="1:23">
      <c r="A698" s="12"/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5"/>
      <c r="V698" s="16" t="str">
        <f t="shared" si="20"/>
        <v/>
      </c>
      <c r="W698" s="16" t="str">
        <f t="shared" si="21"/>
        <v/>
      </c>
    </row>
    <row r="699" spans="1:23">
      <c r="A699" s="12"/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5"/>
      <c r="V699" s="16" t="str">
        <f t="shared" si="20"/>
        <v/>
      </c>
      <c r="W699" s="16" t="str">
        <f t="shared" si="21"/>
        <v/>
      </c>
    </row>
    <row r="700" spans="1:23">
      <c r="A700" s="12"/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5"/>
      <c r="V700" s="16" t="str">
        <f t="shared" si="20"/>
        <v/>
      </c>
      <c r="W700" s="16" t="str">
        <f t="shared" si="21"/>
        <v/>
      </c>
    </row>
    <row r="701" spans="1:23">
      <c r="A701" s="12"/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5"/>
      <c r="V701" s="16" t="str">
        <f t="shared" si="20"/>
        <v/>
      </c>
      <c r="W701" s="16" t="str">
        <f t="shared" si="21"/>
        <v/>
      </c>
    </row>
    <row r="702" spans="1:23">
      <c r="A702" s="12"/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5"/>
      <c r="V702" s="16" t="str">
        <f t="shared" si="20"/>
        <v/>
      </c>
      <c r="W702" s="16" t="str">
        <f t="shared" si="21"/>
        <v/>
      </c>
    </row>
    <row r="703" spans="1:23">
      <c r="A703" s="12"/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5"/>
      <c r="V703" s="16" t="str">
        <f t="shared" si="20"/>
        <v/>
      </c>
      <c r="W703" s="16" t="str">
        <f t="shared" si="21"/>
        <v/>
      </c>
    </row>
    <row r="704" spans="1:23">
      <c r="A704" s="12"/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5"/>
      <c r="V704" s="16" t="str">
        <f t="shared" si="20"/>
        <v/>
      </c>
      <c r="W704" s="16" t="str">
        <f t="shared" si="21"/>
        <v/>
      </c>
    </row>
    <row r="705" spans="1:23">
      <c r="A705" s="12"/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5"/>
      <c r="V705" s="16" t="str">
        <f t="shared" si="20"/>
        <v/>
      </c>
      <c r="W705" s="16" t="str">
        <f t="shared" si="21"/>
        <v/>
      </c>
    </row>
    <row r="706" spans="1:23">
      <c r="A706" s="12"/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5"/>
      <c r="V706" s="16" t="str">
        <f t="shared" si="20"/>
        <v/>
      </c>
      <c r="W706" s="16" t="str">
        <f t="shared" si="21"/>
        <v/>
      </c>
    </row>
    <row r="707" spans="1:23">
      <c r="A707" s="12"/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5"/>
      <c r="V707" s="16" t="str">
        <f t="shared" si="20"/>
        <v/>
      </c>
      <c r="W707" s="16" t="str">
        <f t="shared" si="21"/>
        <v/>
      </c>
    </row>
    <row r="708" spans="1:23">
      <c r="A708" s="12"/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5"/>
      <c r="V708" s="16" t="str">
        <f t="shared" si="20"/>
        <v/>
      </c>
      <c r="W708" s="16" t="str">
        <f t="shared" si="21"/>
        <v/>
      </c>
    </row>
    <row r="709" spans="1:23">
      <c r="A709" s="12"/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5"/>
      <c r="V709" s="16" t="str">
        <f t="shared" si="20"/>
        <v/>
      </c>
      <c r="W709" s="16" t="str">
        <f t="shared" si="21"/>
        <v/>
      </c>
    </row>
    <row r="710" spans="1:23">
      <c r="A710" s="12"/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5"/>
      <c r="V710" s="16" t="str">
        <f t="shared" si="20"/>
        <v/>
      </c>
      <c r="W710" s="16" t="str">
        <f t="shared" si="21"/>
        <v/>
      </c>
    </row>
    <row r="711" spans="1:23">
      <c r="A711" s="12"/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5"/>
      <c r="V711" s="16" t="str">
        <f t="shared" ref="V711:V774" si="22">IF(COUNTA($A711:$U711)=0,"",SUM($C711:$G711)-SUM($H711:$I711)-$J711+$K711-$L711-$M711+SUM($N711:$Q711))</f>
        <v/>
      </c>
      <c r="W711" s="16" t="str">
        <f t="shared" ref="W711:W774" si="23">IF(COUNTA($A711:$U711)=0,"",$C711-SUM($R711:$T711))</f>
        <v/>
      </c>
    </row>
    <row r="712" spans="1:23">
      <c r="A712" s="12"/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5"/>
      <c r="V712" s="16" t="str">
        <f t="shared" si="22"/>
        <v/>
      </c>
      <c r="W712" s="16" t="str">
        <f t="shared" si="23"/>
        <v/>
      </c>
    </row>
    <row r="713" spans="1:23">
      <c r="A713" s="12"/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5"/>
      <c r="V713" s="16" t="str">
        <f t="shared" si="22"/>
        <v/>
      </c>
      <c r="W713" s="16" t="str">
        <f t="shared" si="23"/>
        <v/>
      </c>
    </row>
    <row r="714" spans="1:23">
      <c r="A714" s="12"/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5"/>
      <c r="V714" s="16" t="str">
        <f t="shared" si="22"/>
        <v/>
      </c>
      <c r="W714" s="16" t="str">
        <f t="shared" si="23"/>
        <v/>
      </c>
    </row>
    <row r="715" spans="1:23">
      <c r="A715" s="12"/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5"/>
      <c r="V715" s="16" t="str">
        <f t="shared" si="22"/>
        <v/>
      </c>
      <c r="W715" s="16" t="str">
        <f t="shared" si="23"/>
        <v/>
      </c>
    </row>
    <row r="716" spans="1:23">
      <c r="A716" s="12"/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5"/>
      <c r="V716" s="16" t="str">
        <f t="shared" si="22"/>
        <v/>
      </c>
      <c r="W716" s="16" t="str">
        <f t="shared" si="23"/>
        <v/>
      </c>
    </row>
    <row r="717" spans="1:23">
      <c r="A717" s="12"/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5"/>
      <c r="V717" s="16" t="str">
        <f t="shared" si="22"/>
        <v/>
      </c>
      <c r="W717" s="16" t="str">
        <f t="shared" si="23"/>
        <v/>
      </c>
    </row>
    <row r="718" spans="1:23">
      <c r="A718" s="12"/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5"/>
      <c r="V718" s="16" t="str">
        <f t="shared" si="22"/>
        <v/>
      </c>
      <c r="W718" s="16" t="str">
        <f t="shared" si="23"/>
        <v/>
      </c>
    </row>
    <row r="719" spans="1:23">
      <c r="A719" s="12"/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5"/>
      <c r="V719" s="16" t="str">
        <f t="shared" si="22"/>
        <v/>
      </c>
      <c r="W719" s="16" t="str">
        <f t="shared" si="23"/>
        <v/>
      </c>
    </row>
    <row r="720" spans="1:23">
      <c r="A720" s="12"/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5"/>
      <c r="V720" s="16" t="str">
        <f t="shared" si="22"/>
        <v/>
      </c>
      <c r="W720" s="16" t="str">
        <f t="shared" si="23"/>
        <v/>
      </c>
    </row>
    <row r="721" spans="1:23">
      <c r="A721" s="12"/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5"/>
      <c r="V721" s="16" t="str">
        <f t="shared" si="22"/>
        <v/>
      </c>
      <c r="W721" s="16" t="str">
        <f t="shared" si="23"/>
        <v/>
      </c>
    </row>
    <row r="722" spans="1:23">
      <c r="A722" s="12"/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5"/>
      <c r="V722" s="16" t="str">
        <f t="shared" si="22"/>
        <v/>
      </c>
      <c r="W722" s="16" t="str">
        <f t="shared" si="23"/>
        <v/>
      </c>
    </row>
    <row r="723" spans="1:23">
      <c r="A723" s="12"/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5"/>
      <c r="V723" s="16" t="str">
        <f t="shared" si="22"/>
        <v/>
      </c>
      <c r="W723" s="16" t="str">
        <f t="shared" si="23"/>
        <v/>
      </c>
    </row>
    <row r="724" spans="1:23">
      <c r="A724" s="12"/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5"/>
      <c r="V724" s="16" t="str">
        <f t="shared" si="22"/>
        <v/>
      </c>
      <c r="W724" s="16" t="str">
        <f t="shared" si="23"/>
        <v/>
      </c>
    </row>
    <row r="725" spans="1:23">
      <c r="A725" s="12"/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5"/>
      <c r="V725" s="16" t="str">
        <f t="shared" si="22"/>
        <v/>
      </c>
      <c r="W725" s="16" t="str">
        <f t="shared" si="23"/>
        <v/>
      </c>
    </row>
    <row r="726" spans="1:23">
      <c r="A726" s="12"/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5"/>
      <c r="V726" s="16" t="str">
        <f t="shared" si="22"/>
        <v/>
      </c>
      <c r="W726" s="16" t="str">
        <f t="shared" si="23"/>
        <v/>
      </c>
    </row>
    <row r="727" spans="1:23">
      <c r="A727" s="12"/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5"/>
      <c r="V727" s="16" t="str">
        <f t="shared" si="22"/>
        <v/>
      </c>
      <c r="W727" s="16" t="str">
        <f t="shared" si="23"/>
        <v/>
      </c>
    </row>
    <row r="728" spans="1:23">
      <c r="A728" s="12"/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5"/>
      <c r="V728" s="16" t="str">
        <f t="shared" si="22"/>
        <v/>
      </c>
      <c r="W728" s="16" t="str">
        <f t="shared" si="23"/>
        <v/>
      </c>
    </row>
    <row r="729" spans="1:23">
      <c r="A729" s="12"/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5"/>
      <c r="V729" s="16" t="str">
        <f t="shared" si="22"/>
        <v/>
      </c>
      <c r="W729" s="16" t="str">
        <f t="shared" si="23"/>
        <v/>
      </c>
    </row>
    <row r="730" spans="1:23">
      <c r="A730" s="12"/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5"/>
      <c r="V730" s="16" t="str">
        <f t="shared" si="22"/>
        <v/>
      </c>
      <c r="W730" s="16" t="str">
        <f t="shared" si="23"/>
        <v/>
      </c>
    </row>
    <row r="731" spans="1:23">
      <c r="A731" s="12"/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5"/>
      <c r="V731" s="16" t="str">
        <f t="shared" si="22"/>
        <v/>
      </c>
      <c r="W731" s="16" t="str">
        <f t="shared" si="23"/>
        <v/>
      </c>
    </row>
    <row r="732" spans="1:23">
      <c r="A732" s="12"/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5"/>
      <c r="V732" s="16" t="str">
        <f t="shared" si="22"/>
        <v/>
      </c>
      <c r="W732" s="16" t="str">
        <f t="shared" si="23"/>
        <v/>
      </c>
    </row>
    <row r="733" spans="1:23">
      <c r="A733" s="12"/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5"/>
      <c r="V733" s="16" t="str">
        <f t="shared" si="22"/>
        <v/>
      </c>
      <c r="W733" s="16" t="str">
        <f t="shared" si="23"/>
        <v/>
      </c>
    </row>
    <row r="734" spans="1:23">
      <c r="A734" s="12"/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5"/>
      <c r="V734" s="16" t="str">
        <f t="shared" si="22"/>
        <v/>
      </c>
      <c r="W734" s="16" t="str">
        <f t="shared" si="23"/>
        <v/>
      </c>
    </row>
    <row r="735" spans="1:23">
      <c r="A735" s="12"/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5"/>
      <c r="V735" s="16" t="str">
        <f t="shared" si="22"/>
        <v/>
      </c>
      <c r="W735" s="16" t="str">
        <f t="shared" si="23"/>
        <v/>
      </c>
    </row>
    <row r="736" spans="1:23">
      <c r="A736" s="12"/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5"/>
      <c r="V736" s="16" t="str">
        <f t="shared" si="22"/>
        <v/>
      </c>
      <c r="W736" s="16" t="str">
        <f t="shared" si="23"/>
        <v/>
      </c>
    </row>
    <row r="737" spans="1:23">
      <c r="A737" s="12"/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5"/>
      <c r="V737" s="16" t="str">
        <f t="shared" si="22"/>
        <v/>
      </c>
      <c r="W737" s="16" t="str">
        <f t="shared" si="23"/>
        <v/>
      </c>
    </row>
    <row r="738" spans="1:23">
      <c r="A738" s="12"/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5"/>
      <c r="V738" s="16" t="str">
        <f t="shared" si="22"/>
        <v/>
      </c>
      <c r="W738" s="16" t="str">
        <f t="shared" si="23"/>
        <v/>
      </c>
    </row>
    <row r="739" spans="1:23">
      <c r="A739" s="12"/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5"/>
      <c r="V739" s="16" t="str">
        <f t="shared" si="22"/>
        <v/>
      </c>
      <c r="W739" s="16" t="str">
        <f t="shared" si="23"/>
        <v/>
      </c>
    </row>
    <row r="740" spans="1:23">
      <c r="A740" s="12"/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5"/>
      <c r="V740" s="16" t="str">
        <f t="shared" si="22"/>
        <v/>
      </c>
      <c r="W740" s="16" t="str">
        <f t="shared" si="23"/>
        <v/>
      </c>
    </row>
    <row r="741" spans="1:23">
      <c r="A741" s="12"/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5"/>
      <c r="V741" s="16" t="str">
        <f t="shared" si="22"/>
        <v/>
      </c>
      <c r="W741" s="16" t="str">
        <f t="shared" si="23"/>
        <v/>
      </c>
    </row>
    <row r="742" spans="1:23">
      <c r="A742" s="12"/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5"/>
      <c r="V742" s="16" t="str">
        <f t="shared" si="22"/>
        <v/>
      </c>
      <c r="W742" s="16" t="str">
        <f t="shared" si="23"/>
        <v/>
      </c>
    </row>
    <row r="743" spans="1:23">
      <c r="A743" s="12"/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5"/>
      <c r="V743" s="16" t="str">
        <f t="shared" si="22"/>
        <v/>
      </c>
      <c r="W743" s="16" t="str">
        <f t="shared" si="23"/>
        <v/>
      </c>
    </row>
    <row r="744" spans="1:23">
      <c r="A744" s="12"/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5"/>
      <c r="V744" s="16" t="str">
        <f t="shared" si="22"/>
        <v/>
      </c>
      <c r="W744" s="16" t="str">
        <f t="shared" si="23"/>
        <v/>
      </c>
    </row>
    <row r="745" spans="1:23">
      <c r="A745" s="12"/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5"/>
      <c r="V745" s="16" t="str">
        <f t="shared" si="22"/>
        <v/>
      </c>
      <c r="W745" s="16" t="str">
        <f t="shared" si="23"/>
        <v/>
      </c>
    </row>
    <row r="746" spans="1:23">
      <c r="A746" s="12"/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5"/>
      <c r="V746" s="16" t="str">
        <f t="shared" si="22"/>
        <v/>
      </c>
      <c r="W746" s="16" t="str">
        <f t="shared" si="23"/>
        <v/>
      </c>
    </row>
    <row r="747" spans="1:23">
      <c r="A747" s="12"/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5"/>
      <c r="V747" s="16" t="str">
        <f t="shared" si="22"/>
        <v/>
      </c>
      <c r="W747" s="16" t="str">
        <f t="shared" si="23"/>
        <v/>
      </c>
    </row>
    <row r="748" spans="1:23">
      <c r="A748" s="12"/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5"/>
      <c r="V748" s="16" t="str">
        <f t="shared" si="22"/>
        <v/>
      </c>
      <c r="W748" s="16" t="str">
        <f t="shared" si="23"/>
        <v/>
      </c>
    </row>
    <row r="749" spans="1:23">
      <c r="A749" s="12"/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5"/>
      <c r="V749" s="16" t="str">
        <f t="shared" si="22"/>
        <v/>
      </c>
      <c r="W749" s="16" t="str">
        <f t="shared" si="23"/>
        <v/>
      </c>
    </row>
    <row r="750" spans="1:23">
      <c r="A750" s="12"/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5"/>
      <c r="V750" s="16" t="str">
        <f t="shared" si="22"/>
        <v/>
      </c>
      <c r="W750" s="16" t="str">
        <f t="shared" si="23"/>
        <v/>
      </c>
    </row>
    <row r="751" spans="1:23">
      <c r="A751" s="12"/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5"/>
      <c r="V751" s="16" t="str">
        <f t="shared" si="22"/>
        <v/>
      </c>
      <c r="W751" s="16" t="str">
        <f t="shared" si="23"/>
        <v/>
      </c>
    </row>
    <row r="752" spans="1:23">
      <c r="A752" s="12"/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5"/>
      <c r="V752" s="16" t="str">
        <f t="shared" si="22"/>
        <v/>
      </c>
      <c r="W752" s="16" t="str">
        <f t="shared" si="23"/>
        <v/>
      </c>
    </row>
    <row r="753" spans="1:23">
      <c r="A753" s="12"/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5"/>
      <c r="V753" s="16" t="str">
        <f t="shared" si="22"/>
        <v/>
      </c>
      <c r="W753" s="16" t="str">
        <f t="shared" si="23"/>
        <v/>
      </c>
    </row>
    <row r="754" spans="1:23">
      <c r="A754" s="12"/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5"/>
      <c r="V754" s="16" t="str">
        <f t="shared" si="22"/>
        <v/>
      </c>
      <c r="W754" s="16" t="str">
        <f t="shared" si="23"/>
        <v/>
      </c>
    </row>
    <row r="755" spans="1:23">
      <c r="A755" s="12"/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5"/>
      <c r="V755" s="16" t="str">
        <f t="shared" si="22"/>
        <v/>
      </c>
      <c r="W755" s="16" t="str">
        <f t="shared" si="23"/>
        <v/>
      </c>
    </row>
    <row r="756" spans="1:23">
      <c r="A756" s="12"/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5"/>
      <c r="V756" s="16" t="str">
        <f t="shared" si="22"/>
        <v/>
      </c>
      <c r="W756" s="16" t="str">
        <f t="shared" si="23"/>
        <v/>
      </c>
    </row>
    <row r="757" spans="1:23">
      <c r="A757" s="12"/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5"/>
      <c r="V757" s="16" t="str">
        <f t="shared" si="22"/>
        <v/>
      </c>
      <c r="W757" s="16" t="str">
        <f t="shared" si="23"/>
        <v/>
      </c>
    </row>
    <row r="758" spans="1:23">
      <c r="A758" s="12"/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5"/>
      <c r="V758" s="16" t="str">
        <f t="shared" si="22"/>
        <v/>
      </c>
      <c r="W758" s="16" t="str">
        <f t="shared" si="23"/>
        <v/>
      </c>
    </row>
    <row r="759" spans="1:23">
      <c r="A759" s="12"/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5"/>
      <c r="V759" s="16" t="str">
        <f t="shared" si="22"/>
        <v/>
      </c>
      <c r="W759" s="16" t="str">
        <f t="shared" si="23"/>
        <v/>
      </c>
    </row>
    <row r="760" spans="1:23">
      <c r="A760" s="12"/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5"/>
      <c r="V760" s="16" t="str">
        <f t="shared" si="22"/>
        <v/>
      </c>
      <c r="W760" s="16" t="str">
        <f t="shared" si="23"/>
        <v/>
      </c>
    </row>
    <row r="761" spans="1:23">
      <c r="A761" s="12"/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5"/>
      <c r="V761" s="16" t="str">
        <f t="shared" si="22"/>
        <v/>
      </c>
      <c r="W761" s="16" t="str">
        <f t="shared" si="23"/>
        <v/>
      </c>
    </row>
    <row r="762" spans="1:23">
      <c r="A762" s="12"/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5"/>
      <c r="V762" s="16" t="str">
        <f t="shared" si="22"/>
        <v/>
      </c>
      <c r="W762" s="16" t="str">
        <f t="shared" si="23"/>
        <v/>
      </c>
    </row>
    <row r="763" spans="1:23">
      <c r="A763" s="12"/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5"/>
      <c r="V763" s="16" t="str">
        <f t="shared" si="22"/>
        <v/>
      </c>
      <c r="W763" s="16" t="str">
        <f t="shared" si="23"/>
        <v/>
      </c>
    </row>
    <row r="764" spans="1:23">
      <c r="A764" s="12"/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5"/>
      <c r="V764" s="16" t="str">
        <f t="shared" si="22"/>
        <v/>
      </c>
      <c r="W764" s="16" t="str">
        <f t="shared" si="23"/>
        <v/>
      </c>
    </row>
    <row r="765" spans="1:23">
      <c r="A765" s="12"/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5"/>
      <c r="V765" s="16" t="str">
        <f t="shared" si="22"/>
        <v/>
      </c>
      <c r="W765" s="16" t="str">
        <f t="shared" si="23"/>
        <v/>
      </c>
    </row>
    <row r="766" spans="1:23">
      <c r="A766" s="12"/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5"/>
      <c r="V766" s="16" t="str">
        <f t="shared" si="22"/>
        <v/>
      </c>
      <c r="W766" s="16" t="str">
        <f t="shared" si="23"/>
        <v/>
      </c>
    </row>
    <row r="767" spans="1:23">
      <c r="A767" s="12"/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5"/>
      <c r="V767" s="16" t="str">
        <f t="shared" si="22"/>
        <v/>
      </c>
      <c r="W767" s="16" t="str">
        <f t="shared" si="23"/>
        <v/>
      </c>
    </row>
    <row r="768" spans="1:23">
      <c r="A768" s="12"/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5"/>
      <c r="V768" s="16" t="str">
        <f t="shared" si="22"/>
        <v/>
      </c>
      <c r="W768" s="16" t="str">
        <f t="shared" si="23"/>
        <v/>
      </c>
    </row>
    <row r="769" spans="1:23">
      <c r="A769" s="12"/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5"/>
      <c r="V769" s="16" t="str">
        <f t="shared" si="22"/>
        <v/>
      </c>
      <c r="W769" s="16" t="str">
        <f t="shared" si="23"/>
        <v/>
      </c>
    </row>
    <row r="770" spans="1:23">
      <c r="A770" s="12"/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5"/>
      <c r="V770" s="16" t="str">
        <f t="shared" si="22"/>
        <v/>
      </c>
      <c r="W770" s="16" t="str">
        <f t="shared" si="23"/>
        <v/>
      </c>
    </row>
    <row r="771" spans="1:23">
      <c r="A771" s="12"/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5"/>
      <c r="V771" s="16" t="str">
        <f t="shared" si="22"/>
        <v/>
      </c>
      <c r="W771" s="16" t="str">
        <f t="shared" si="23"/>
        <v/>
      </c>
    </row>
    <row r="772" spans="1:23">
      <c r="A772" s="12"/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5"/>
      <c r="V772" s="16" t="str">
        <f t="shared" si="22"/>
        <v/>
      </c>
      <c r="W772" s="16" t="str">
        <f t="shared" si="23"/>
        <v/>
      </c>
    </row>
    <row r="773" spans="1:23">
      <c r="A773" s="12"/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5"/>
      <c r="V773" s="16" t="str">
        <f t="shared" si="22"/>
        <v/>
      </c>
      <c r="W773" s="16" t="str">
        <f t="shared" si="23"/>
        <v/>
      </c>
    </row>
    <row r="774" spans="1:23">
      <c r="A774" s="12"/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5"/>
      <c r="V774" s="16" t="str">
        <f t="shared" si="22"/>
        <v/>
      </c>
      <c r="W774" s="16" t="str">
        <f t="shared" si="23"/>
        <v/>
      </c>
    </row>
    <row r="775" spans="1:23">
      <c r="A775" s="12"/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5"/>
      <c r="V775" s="16" t="str">
        <f t="shared" ref="V775:V838" si="24">IF(COUNTA($A775:$U775)=0,"",SUM($C775:$G775)-SUM($H775:$I775)-$J775+$K775-$L775-$M775+SUM($N775:$Q775))</f>
        <v/>
      </c>
      <c r="W775" s="16" t="str">
        <f t="shared" ref="W775:W838" si="25">IF(COUNTA($A775:$U775)=0,"",$C775-SUM($R775:$T775))</f>
        <v/>
      </c>
    </row>
    <row r="776" spans="1:23">
      <c r="A776" s="12"/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5"/>
      <c r="V776" s="16" t="str">
        <f t="shared" si="24"/>
        <v/>
      </c>
      <c r="W776" s="16" t="str">
        <f t="shared" si="25"/>
        <v/>
      </c>
    </row>
    <row r="777" spans="1:23">
      <c r="A777" s="12"/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5"/>
      <c r="V777" s="16" t="str">
        <f t="shared" si="24"/>
        <v/>
      </c>
      <c r="W777" s="16" t="str">
        <f t="shared" si="25"/>
        <v/>
      </c>
    </row>
    <row r="778" spans="1:23">
      <c r="A778" s="12"/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5"/>
      <c r="V778" s="16" t="str">
        <f t="shared" si="24"/>
        <v/>
      </c>
      <c r="W778" s="16" t="str">
        <f t="shared" si="25"/>
        <v/>
      </c>
    </row>
    <row r="779" spans="1:23">
      <c r="A779" s="12"/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5"/>
      <c r="V779" s="16" t="str">
        <f t="shared" si="24"/>
        <v/>
      </c>
      <c r="W779" s="16" t="str">
        <f t="shared" si="25"/>
        <v/>
      </c>
    </row>
    <row r="780" spans="1:23">
      <c r="A780" s="12"/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5"/>
      <c r="V780" s="16" t="str">
        <f t="shared" si="24"/>
        <v/>
      </c>
      <c r="W780" s="16" t="str">
        <f t="shared" si="25"/>
        <v/>
      </c>
    </row>
    <row r="781" spans="1:23">
      <c r="A781" s="12"/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5"/>
      <c r="V781" s="16" t="str">
        <f t="shared" si="24"/>
        <v/>
      </c>
      <c r="W781" s="16" t="str">
        <f t="shared" si="25"/>
        <v/>
      </c>
    </row>
    <row r="782" spans="1:23">
      <c r="A782" s="12"/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5"/>
      <c r="V782" s="16" t="str">
        <f t="shared" si="24"/>
        <v/>
      </c>
      <c r="W782" s="16" t="str">
        <f t="shared" si="25"/>
        <v/>
      </c>
    </row>
    <row r="783" spans="1:23">
      <c r="A783" s="12"/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5"/>
      <c r="V783" s="16" t="str">
        <f t="shared" si="24"/>
        <v/>
      </c>
      <c r="W783" s="16" t="str">
        <f t="shared" si="25"/>
        <v/>
      </c>
    </row>
    <row r="784" spans="1:23">
      <c r="A784" s="12"/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5"/>
      <c r="V784" s="16" t="str">
        <f t="shared" si="24"/>
        <v/>
      </c>
      <c r="W784" s="16" t="str">
        <f t="shared" si="25"/>
        <v/>
      </c>
    </row>
    <row r="785" spans="1:23">
      <c r="A785" s="12"/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5"/>
      <c r="V785" s="16" t="str">
        <f t="shared" si="24"/>
        <v/>
      </c>
      <c r="W785" s="16" t="str">
        <f t="shared" si="25"/>
        <v/>
      </c>
    </row>
    <row r="786" spans="1:23">
      <c r="A786" s="12"/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5"/>
      <c r="V786" s="16" t="str">
        <f t="shared" si="24"/>
        <v/>
      </c>
      <c r="W786" s="16" t="str">
        <f t="shared" si="25"/>
        <v/>
      </c>
    </row>
    <row r="787" spans="1:23">
      <c r="A787" s="12"/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5"/>
      <c r="V787" s="16" t="str">
        <f t="shared" si="24"/>
        <v/>
      </c>
      <c r="W787" s="16" t="str">
        <f t="shared" si="25"/>
        <v/>
      </c>
    </row>
    <row r="788" spans="1:23">
      <c r="A788" s="12"/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5"/>
      <c r="V788" s="16" t="str">
        <f t="shared" si="24"/>
        <v/>
      </c>
      <c r="W788" s="16" t="str">
        <f t="shared" si="25"/>
        <v/>
      </c>
    </row>
    <row r="789" spans="1:23">
      <c r="A789" s="12"/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5"/>
      <c r="V789" s="16" t="str">
        <f t="shared" si="24"/>
        <v/>
      </c>
      <c r="W789" s="16" t="str">
        <f t="shared" si="25"/>
        <v/>
      </c>
    </row>
    <row r="790" spans="1:23">
      <c r="A790" s="12"/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5"/>
      <c r="V790" s="16" t="str">
        <f t="shared" si="24"/>
        <v/>
      </c>
      <c r="W790" s="16" t="str">
        <f t="shared" si="25"/>
        <v/>
      </c>
    </row>
    <row r="791" spans="1:23">
      <c r="A791" s="12"/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5"/>
      <c r="V791" s="16" t="str">
        <f t="shared" si="24"/>
        <v/>
      </c>
      <c r="W791" s="16" t="str">
        <f t="shared" si="25"/>
        <v/>
      </c>
    </row>
    <row r="792" spans="1:23">
      <c r="A792" s="12"/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5"/>
      <c r="V792" s="16" t="str">
        <f t="shared" si="24"/>
        <v/>
      </c>
      <c r="W792" s="16" t="str">
        <f t="shared" si="25"/>
        <v/>
      </c>
    </row>
    <row r="793" spans="1:23">
      <c r="A793" s="12"/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5"/>
      <c r="V793" s="16" t="str">
        <f t="shared" si="24"/>
        <v/>
      </c>
      <c r="W793" s="16" t="str">
        <f t="shared" si="25"/>
        <v/>
      </c>
    </row>
    <row r="794" spans="1:23">
      <c r="A794" s="12"/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5"/>
      <c r="V794" s="16" t="str">
        <f t="shared" si="24"/>
        <v/>
      </c>
      <c r="W794" s="16" t="str">
        <f t="shared" si="25"/>
        <v/>
      </c>
    </row>
    <row r="795" spans="1:23">
      <c r="A795" s="12"/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5"/>
      <c r="V795" s="16" t="str">
        <f t="shared" si="24"/>
        <v/>
      </c>
      <c r="W795" s="16" t="str">
        <f t="shared" si="25"/>
        <v/>
      </c>
    </row>
    <row r="796" spans="1:23">
      <c r="A796" s="12"/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5"/>
      <c r="V796" s="16" t="str">
        <f t="shared" si="24"/>
        <v/>
      </c>
      <c r="W796" s="16" t="str">
        <f t="shared" si="25"/>
        <v/>
      </c>
    </row>
    <row r="797" spans="1:23">
      <c r="A797" s="12"/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5"/>
      <c r="V797" s="16" t="str">
        <f t="shared" si="24"/>
        <v/>
      </c>
      <c r="W797" s="16" t="str">
        <f t="shared" si="25"/>
        <v/>
      </c>
    </row>
    <row r="798" spans="1:23">
      <c r="A798" s="12"/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5"/>
      <c r="V798" s="16" t="str">
        <f t="shared" si="24"/>
        <v/>
      </c>
      <c r="W798" s="16" t="str">
        <f t="shared" si="25"/>
        <v/>
      </c>
    </row>
    <row r="799" spans="1:23">
      <c r="A799" s="12"/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5"/>
      <c r="V799" s="16" t="str">
        <f t="shared" si="24"/>
        <v/>
      </c>
      <c r="W799" s="16" t="str">
        <f t="shared" si="25"/>
        <v/>
      </c>
    </row>
    <row r="800" spans="1:23">
      <c r="A800" s="12"/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5"/>
      <c r="V800" s="16" t="str">
        <f t="shared" si="24"/>
        <v/>
      </c>
      <c r="W800" s="16" t="str">
        <f t="shared" si="25"/>
        <v/>
      </c>
    </row>
    <row r="801" spans="1:23">
      <c r="A801" s="12"/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5"/>
      <c r="V801" s="16" t="str">
        <f t="shared" si="24"/>
        <v/>
      </c>
      <c r="W801" s="16" t="str">
        <f t="shared" si="25"/>
        <v/>
      </c>
    </row>
    <row r="802" spans="1:23">
      <c r="A802" s="12"/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5"/>
      <c r="V802" s="16" t="str">
        <f t="shared" si="24"/>
        <v/>
      </c>
      <c r="W802" s="16" t="str">
        <f t="shared" si="25"/>
        <v/>
      </c>
    </row>
    <row r="803" spans="1:23">
      <c r="A803" s="12"/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5"/>
      <c r="V803" s="16" t="str">
        <f t="shared" si="24"/>
        <v/>
      </c>
      <c r="W803" s="16" t="str">
        <f t="shared" si="25"/>
        <v/>
      </c>
    </row>
    <row r="804" spans="1:23">
      <c r="A804" s="12"/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5"/>
      <c r="V804" s="16" t="str">
        <f t="shared" si="24"/>
        <v/>
      </c>
      <c r="W804" s="16" t="str">
        <f t="shared" si="25"/>
        <v/>
      </c>
    </row>
    <row r="805" spans="1:23">
      <c r="A805" s="12"/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5"/>
      <c r="V805" s="16" t="str">
        <f t="shared" si="24"/>
        <v/>
      </c>
      <c r="W805" s="16" t="str">
        <f t="shared" si="25"/>
        <v/>
      </c>
    </row>
    <row r="806" spans="1:23">
      <c r="A806" s="12"/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5"/>
      <c r="V806" s="16" t="str">
        <f t="shared" si="24"/>
        <v/>
      </c>
      <c r="W806" s="16" t="str">
        <f t="shared" si="25"/>
        <v/>
      </c>
    </row>
    <row r="807" spans="1:23">
      <c r="A807" s="12"/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5"/>
      <c r="V807" s="16" t="str">
        <f t="shared" si="24"/>
        <v/>
      </c>
      <c r="W807" s="16" t="str">
        <f t="shared" si="25"/>
        <v/>
      </c>
    </row>
    <row r="808" spans="1:23">
      <c r="A808" s="12"/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5"/>
      <c r="V808" s="16" t="str">
        <f t="shared" si="24"/>
        <v/>
      </c>
      <c r="W808" s="16" t="str">
        <f t="shared" si="25"/>
        <v/>
      </c>
    </row>
    <row r="809" spans="1:23">
      <c r="A809" s="12"/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5"/>
      <c r="V809" s="16" t="str">
        <f t="shared" si="24"/>
        <v/>
      </c>
      <c r="W809" s="16" t="str">
        <f t="shared" si="25"/>
        <v/>
      </c>
    </row>
    <row r="810" spans="1:23">
      <c r="A810" s="12"/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5"/>
      <c r="V810" s="16" t="str">
        <f t="shared" si="24"/>
        <v/>
      </c>
      <c r="W810" s="16" t="str">
        <f t="shared" si="25"/>
        <v/>
      </c>
    </row>
    <row r="811" spans="1:23">
      <c r="A811" s="12"/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5"/>
      <c r="V811" s="16" t="str">
        <f t="shared" si="24"/>
        <v/>
      </c>
      <c r="W811" s="16" t="str">
        <f t="shared" si="25"/>
        <v/>
      </c>
    </row>
    <row r="812" spans="1:23">
      <c r="A812" s="12"/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5"/>
      <c r="V812" s="16" t="str">
        <f t="shared" si="24"/>
        <v/>
      </c>
      <c r="W812" s="16" t="str">
        <f t="shared" si="25"/>
        <v/>
      </c>
    </row>
    <row r="813" spans="1:23">
      <c r="A813" s="12"/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5"/>
      <c r="V813" s="16" t="str">
        <f t="shared" si="24"/>
        <v/>
      </c>
      <c r="W813" s="16" t="str">
        <f t="shared" si="25"/>
        <v/>
      </c>
    </row>
    <row r="814" spans="1:23">
      <c r="A814" s="12"/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5"/>
      <c r="V814" s="16" t="str">
        <f t="shared" si="24"/>
        <v/>
      </c>
      <c r="W814" s="16" t="str">
        <f t="shared" si="25"/>
        <v/>
      </c>
    </row>
    <row r="815" spans="1:23">
      <c r="A815" s="12"/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5"/>
      <c r="V815" s="16" t="str">
        <f t="shared" si="24"/>
        <v/>
      </c>
      <c r="W815" s="16" t="str">
        <f t="shared" si="25"/>
        <v/>
      </c>
    </row>
    <row r="816" spans="1:23">
      <c r="A816" s="12"/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5"/>
      <c r="V816" s="16" t="str">
        <f t="shared" si="24"/>
        <v/>
      </c>
      <c r="W816" s="16" t="str">
        <f t="shared" si="25"/>
        <v/>
      </c>
    </row>
    <row r="817" spans="1:23">
      <c r="A817" s="12"/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5"/>
      <c r="V817" s="16" t="str">
        <f t="shared" si="24"/>
        <v/>
      </c>
      <c r="W817" s="16" t="str">
        <f t="shared" si="25"/>
        <v/>
      </c>
    </row>
    <row r="818" spans="1:23">
      <c r="A818" s="12"/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5"/>
      <c r="V818" s="16" t="str">
        <f t="shared" si="24"/>
        <v/>
      </c>
      <c r="W818" s="16" t="str">
        <f t="shared" si="25"/>
        <v/>
      </c>
    </row>
    <row r="819" spans="1:23">
      <c r="A819" s="12"/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5"/>
      <c r="V819" s="16" t="str">
        <f t="shared" si="24"/>
        <v/>
      </c>
      <c r="W819" s="16" t="str">
        <f t="shared" si="25"/>
        <v/>
      </c>
    </row>
    <row r="820" spans="1:23">
      <c r="A820" s="12"/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5"/>
      <c r="V820" s="16" t="str">
        <f t="shared" si="24"/>
        <v/>
      </c>
      <c r="W820" s="16" t="str">
        <f t="shared" si="25"/>
        <v/>
      </c>
    </row>
    <row r="821" spans="1:23">
      <c r="A821" s="12"/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5"/>
      <c r="V821" s="16" t="str">
        <f t="shared" si="24"/>
        <v/>
      </c>
      <c r="W821" s="16" t="str">
        <f t="shared" si="25"/>
        <v/>
      </c>
    </row>
    <row r="822" spans="1:23">
      <c r="A822" s="12"/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5"/>
      <c r="V822" s="16" t="str">
        <f t="shared" si="24"/>
        <v/>
      </c>
      <c r="W822" s="16" t="str">
        <f t="shared" si="25"/>
        <v/>
      </c>
    </row>
    <row r="823" spans="1:23">
      <c r="A823" s="12"/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5"/>
      <c r="V823" s="16" t="str">
        <f t="shared" si="24"/>
        <v/>
      </c>
      <c r="W823" s="16" t="str">
        <f t="shared" si="25"/>
        <v/>
      </c>
    </row>
    <row r="824" spans="1:23">
      <c r="A824" s="12"/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5"/>
      <c r="V824" s="16" t="str">
        <f t="shared" si="24"/>
        <v/>
      </c>
      <c r="W824" s="16" t="str">
        <f t="shared" si="25"/>
        <v/>
      </c>
    </row>
    <row r="825" spans="1:23">
      <c r="A825" s="12"/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5"/>
      <c r="V825" s="16" t="str">
        <f t="shared" si="24"/>
        <v/>
      </c>
      <c r="W825" s="16" t="str">
        <f t="shared" si="25"/>
        <v/>
      </c>
    </row>
    <row r="826" spans="1:23">
      <c r="A826" s="12"/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5"/>
      <c r="V826" s="16" t="str">
        <f t="shared" si="24"/>
        <v/>
      </c>
      <c r="W826" s="16" t="str">
        <f t="shared" si="25"/>
        <v/>
      </c>
    </row>
    <row r="827" spans="1:23">
      <c r="A827" s="12"/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5"/>
      <c r="V827" s="16" t="str">
        <f t="shared" si="24"/>
        <v/>
      </c>
      <c r="W827" s="16" t="str">
        <f t="shared" si="25"/>
        <v/>
      </c>
    </row>
    <row r="828" spans="1:23">
      <c r="A828" s="12"/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5"/>
      <c r="V828" s="16" t="str">
        <f t="shared" si="24"/>
        <v/>
      </c>
      <c r="W828" s="16" t="str">
        <f t="shared" si="25"/>
        <v/>
      </c>
    </row>
    <row r="829" spans="1:23">
      <c r="A829" s="12"/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5"/>
      <c r="V829" s="16" t="str">
        <f t="shared" si="24"/>
        <v/>
      </c>
      <c r="W829" s="16" t="str">
        <f t="shared" si="25"/>
        <v/>
      </c>
    </row>
    <row r="830" spans="1:23">
      <c r="A830" s="12"/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5"/>
      <c r="V830" s="16" t="str">
        <f t="shared" si="24"/>
        <v/>
      </c>
      <c r="W830" s="16" t="str">
        <f t="shared" si="25"/>
        <v/>
      </c>
    </row>
    <row r="831" spans="1:23">
      <c r="A831" s="12"/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5"/>
      <c r="V831" s="16" t="str">
        <f t="shared" si="24"/>
        <v/>
      </c>
      <c r="W831" s="16" t="str">
        <f t="shared" si="25"/>
        <v/>
      </c>
    </row>
    <row r="832" spans="1:23">
      <c r="A832" s="12"/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5"/>
      <c r="V832" s="16" t="str">
        <f t="shared" si="24"/>
        <v/>
      </c>
      <c r="W832" s="16" t="str">
        <f t="shared" si="25"/>
        <v/>
      </c>
    </row>
    <row r="833" spans="1:23">
      <c r="A833" s="12"/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5"/>
      <c r="V833" s="16" t="str">
        <f t="shared" si="24"/>
        <v/>
      </c>
      <c r="W833" s="16" t="str">
        <f t="shared" si="25"/>
        <v/>
      </c>
    </row>
    <row r="834" spans="1:23">
      <c r="A834" s="12"/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5"/>
      <c r="V834" s="16" t="str">
        <f t="shared" si="24"/>
        <v/>
      </c>
      <c r="W834" s="16" t="str">
        <f t="shared" si="25"/>
        <v/>
      </c>
    </row>
    <row r="835" spans="1:23">
      <c r="A835" s="12"/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5"/>
      <c r="V835" s="16" t="str">
        <f t="shared" si="24"/>
        <v/>
      </c>
      <c r="W835" s="16" t="str">
        <f t="shared" si="25"/>
        <v/>
      </c>
    </row>
    <row r="836" spans="1:23">
      <c r="A836" s="12"/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5"/>
      <c r="V836" s="16" t="str">
        <f t="shared" si="24"/>
        <v/>
      </c>
      <c r="W836" s="16" t="str">
        <f t="shared" si="25"/>
        <v/>
      </c>
    </row>
    <row r="837" spans="1:23">
      <c r="A837" s="12"/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5"/>
      <c r="V837" s="16" t="str">
        <f t="shared" si="24"/>
        <v/>
      </c>
      <c r="W837" s="16" t="str">
        <f t="shared" si="25"/>
        <v/>
      </c>
    </row>
    <row r="838" spans="1:23">
      <c r="A838" s="12"/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5"/>
      <c r="V838" s="16" t="str">
        <f t="shared" si="24"/>
        <v/>
      </c>
      <c r="W838" s="16" t="str">
        <f t="shared" si="25"/>
        <v/>
      </c>
    </row>
    <row r="839" spans="1:23">
      <c r="A839" s="12"/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5"/>
      <c r="V839" s="16" t="str">
        <f t="shared" ref="V839:V902" si="26">IF(COUNTA($A839:$U839)=0,"",SUM($C839:$G839)-SUM($H839:$I839)-$J839+$K839-$L839-$M839+SUM($N839:$Q839))</f>
        <v/>
      </c>
      <c r="W839" s="16" t="str">
        <f t="shared" ref="W839:W902" si="27">IF(COUNTA($A839:$U839)=0,"",$C839-SUM($R839:$T839))</f>
        <v/>
      </c>
    </row>
    <row r="840" spans="1:23">
      <c r="A840" s="12"/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5"/>
      <c r="V840" s="16" t="str">
        <f t="shared" si="26"/>
        <v/>
      </c>
      <c r="W840" s="16" t="str">
        <f t="shared" si="27"/>
        <v/>
      </c>
    </row>
    <row r="841" spans="1:23">
      <c r="A841" s="12"/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5"/>
      <c r="V841" s="16" t="str">
        <f t="shared" si="26"/>
        <v/>
      </c>
      <c r="W841" s="16" t="str">
        <f t="shared" si="27"/>
        <v/>
      </c>
    </row>
    <row r="842" spans="1:23">
      <c r="A842" s="12"/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5"/>
      <c r="V842" s="16" t="str">
        <f t="shared" si="26"/>
        <v/>
      </c>
      <c r="W842" s="16" t="str">
        <f t="shared" si="27"/>
        <v/>
      </c>
    </row>
    <row r="843" spans="1:23">
      <c r="A843" s="12"/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5"/>
      <c r="V843" s="16" t="str">
        <f t="shared" si="26"/>
        <v/>
      </c>
      <c r="W843" s="16" t="str">
        <f t="shared" si="27"/>
        <v/>
      </c>
    </row>
    <row r="844" spans="1:23">
      <c r="A844" s="12"/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5"/>
      <c r="V844" s="16" t="str">
        <f t="shared" si="26"/>
        <v/>
      </c>
      <c r="W844" s="16" t="str">
        <f t="shared" si="27"/>
        <v/>
      </c>
    </row>
    <row r="845" spans="1:23">
      <c r="A845" s="12"/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5"/>
      <c r="V845" s="16" t="str">
        <f t="shared" si="26"/>
        <v/>
      </c>
      <c r="W845" s="16" t="str">
        <f t="shared" si="27"/>
        <v/>
      </c>
    </row>
    <row r="846" spans="1:23">
      <c r="A846" s="12"/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5"/>
      <c r="V846" s="16" t="str">
        <f t="shared" si="26"/>
        <v/>
      </c>
      <c r="W846" s="16" t="str">
        <f t="shared" si="27"/>
        <v/>
      </c>
    </row>
    <row r="847" spans="1:23">
      <c r="A847" s="12"/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5"/>
      <c r="V847" s="16" t="str">
        <f t="shared" si="26"/>
        <v/>
      </c>
      <c r="W847" s="16" t="str">
        <f t="shared" si="27"/>
        <v/>
      </c>
    </row>
    <row r="848" spans="1:23">
      <c r="A848" s="12"/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5"/>
      <c r="V848" s="16" t="str">
        <f t="shared" si="26"/>
        <v/>
      </c>
      <c r="W848" s="16" t="str">
        <f t="shared" si="27"/>
        <v/>
      </c>
    </row>
    <row r="849" spans="1:23">
      <c r="A849" s="12"/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5"/>
      <c r="V849" s="16" t="str">
        <f t="shared" si="26"/>
        <v/>
      </c>
      <c r="W849" s="16" t="str">
        <f t="shared" si="27"/>
        <v/>
      </c>
    </row>
    <row r="850" spans="1:23">
      <c r="A850" s="12"/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5"/>
      <c r="V850" s="16" t="str">
        <f t="shared" si="26"/>
        <v/>
      </c>
      <c r="W850" s="16" t="str">
        <f t="shared" si="27"/>
        <v/>
      </c>
    </row>
    <row r="851" spans="1:23">
      <c r="A851" s="12"/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5"/>
      <c r="V851" s="16" t="str">
        <f t="shared" si="26"/>
        <v/>
      </c>
      <c r="W851" s="16" t="str">
        <f t="shared" si="27"/>
        <v/>
      </c>
    </row>
    <row r="852" spans="1:23">
      <c r="A852" s="12"/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5"/>
      <c r="V852" s="16" t="str">
        <f t="shared" si="26"/>
        <v/>
      </c>
      <c r="W852" s="16" t="str">
        <f t="shared" si="27"/>
        <v/>
      </c>
    </row>
    <row r="853" spans="1:23">
      <c r="A853" s="12"/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5"/>
      <c r="V853" s="16" t="str">
        <f t="shared" si="26"/>
        <v/>
      </c>
      <c r="W853" s="16" t="str">
        <f t="shared" si="27"/>
        <v/>
      </c>
    </row>
    <row r="854" spans="1:23">
      <c r="A854" s="12"/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5"/>
      <c r="V854" s="16" t="str">
        <f t="shared" si="26"/>
        <v/>
      </c>
      <c r="W854" s="16" t="str">
        <f t="shared" si="27"/>
        <v/>
      </c>
    </row>
    <row r="855" spans="1:23">
      <c r="A855" s="12"/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5"/>
      <c r="V855" s="16" t="str">
        <f t="shared" si="26"/>
        <v/>
      </c>
      <c r="W855" s="16" t="str">
        <f t="shared" si="27"/>
        <v/>
      </c>
    </row>
    <row r="856" spans="1:23">
      <c r="A856" s="12"/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5"/>
      <c r="V856" s="16" t="str">
        <f t="shared" si="26"/>
        <v/>
      </c>
      <c r="W856" s="16" t="str">
        <f t="shared" si="27"/>
        <v/>
      </c>
    </row>
    <row r="857" spans="1:23">
      <c r="A857" s="12"/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5"/>
      <c r="V857" s="16" t="str">
        <f t="shared" si="26"/>
        <v/>
      </c>
      <c r="W857" s="16" t="str">
        <f t="shared" si="27"/>
        <v/>
      </c>
    </row>
    <row r="858" spans="1:23">
      <c r="A858" s="12"/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5"/>
      <c r="V858" s="16" t="str">
        <f t="shared" si="26"/>
        <v/>
      </c>
      <c r="W858" s="16" t="str">
        <f t="shared" si="27"/>
        <v/>
      </c>
    </row>
    <row r="859" spans="1:23">
      <c r="A859" s="12"/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5"/>
      <c r="V859" s="16" t="str">
        <f t="shared" si="26"/>
        <v/>
      </c>
      <c r="W859" s="16" t="str">
        <f t="shared" si="27"/>
        <v/>
      </c>
    </row>
    <row r="860" spans="1:23">
      <c r="A860" s="12"/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5"/>
      <c r="V860" s="16" t="str">
        <f t="shared" si="26"/>
        <v/>
      </c>
      <c r="W860" s="16" t="str">
        <f t="shared" si="27"/>
        <v/>
      </c>
    </row>
    <row r="861" spans="1:23">
      <c r="A861" s="12"/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5"/>
      <c r="V861" s="16" t="str">
        <f t="shared" si="26"/>
        <v/>
      </c>
      <c r="W861" s="16" t="str">
        <f t="shared" si="27"/>
        <v/>
      </c>
    </row>
    <row r="862" spans="1:23">
      <c r="A862" s="12"/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5"/>
      <c r="V862" s="16" t="str">
        <f t="shared" si="26"/>
        <v/>
      </c>
      <c r="W862" s="16" t="str">
        <f t="shared" si="27"/>
        <v/>
      </c>
    </row>
    <row r="863" spans="1:23">
      <c r="A863" s="12"/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5"/>
      <c r="V863" s="16" t="str">
        <f t="shared" si="26"/>
        <v/>
      </c>
      <c r="W863" s="16" t="str">
        <f t="shared" si="27"/>
        <v/>
      </c>
    </row>
    <row r="864" spans="1:23">
      <c r="A864" s="12"/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5"/>
      <c r="V864" s="16" t="str">
        <f t="shared" si="26"/>
        <v/>
      </c>
      <c r="W864" s="16" t="str">
        <f t="shared" si="27"/>
        <v/>
      </c>
    </row>
    <row r="865" spans="1:23">
      <c r="A865" s="12"/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5"/>
      <c r="V865" s="16" t="str">
        <f t="shared" si="26"/>
        <v/>
      </c>
      <c r="W865" s="16" t="str">
        <f t="shared" si="27"/>
        <v/>
      </c>
    </row>
    <row r="866" spans="1:23">
      <c r="A866" s="12"/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5"/>
      <c r="V866" s="16" t="str">
        <f t="shared" si="26"/>
        <v/>
      </c>
      <c r="W866" s="16" t="str">
        <f t="shared" si="27"/>
        <v/>
      </c>
    </row>
    <row r="867" spans="1:23">
      <c r="A867" s="12"/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5"/>
      <c r="V867" s="16" t="str">
        <f t="shared" si="26"/>
        <v/>
      </c>
      <c r="W867" s="16" t="str">
        <f t="shared" si="27"/>
        <v/>
      </c>
    </row>
    <row r="868" spans="1:23">
      <c r="A868" s="12"/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5"/>
      <c r="V868" s="16" t="str">
        <f t="shared" si="26"/>
        <v/>
      </c>
      <c r="W868" s="16" t="str">
        <f t="shared" si="27"/>
        <v/>
      </c>
    </row>
    <row r="869" spans="1:23">
      <c r="A869" s="12"/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5"/>
      <c r="V869" s="16" t="str">
        <f t="shared" si="26"/>
        <v/>
      </c>
      <c r="W869" s="16" t="str">
        <f t="shared" si="27"/>
        <v/>
      </c>
    </row>
    <row r="870" spans="1:23">
      <c r="A870" s="12"/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5"/>
      <c r="V870" s="16" t="str">
        <f t="shared" si="26"/>
        <v/>
      </c>
      <c r="W870" s="16" t="str">
        <f t="shared" si="27"/>
        <v/>
      </c>
    </row>
    <row r="871" spans="1:23">
      <c r="A871" s="12"/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5"/>
      <c r="V871" s="16" t="str">
        <f t="shared" si="26"/>
        <v/>
      </c>
      <c r="W871" s="16" t="str">
        <f t="shared" si="27"/>
        <v/>
      </c>
    </row>
    <row r="872" spans="1:23">
      <c r="A872" s="12"/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5"/>
      <c r="V872" s="16" t="str">
        <f t="shared" si="26"/>
        <v/>
      </c>
      <c r="W872" s="16" t="str">
        <f t="shared" si="27"/>
        <v/>
      </c>
    </row>
    <row r="873" spans="1:23">
      <c r="A873" s="12"/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5"/>
      <c r="V873" s="16" t="str">
        <f t="shared" si="26"/>
        <v/>
      </c>
      <c r="W873" s="16" t="str">
        <f t="shared" si="27"/>
        <v/>
      </c>
    </row>
    <row r="874" spans="1:23">
      <c r="A874" s="12"/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5"/>
      <c r="V874" s="16" t="str">
        <f t="shared" si="26"/>
        <v/>
      </c>
      <c r="W874" s="16" t="str">
        <f t="shared" si="27"/>
        <v/>
      </c>
    </row>
    <row r="875" spans="1:23">
      <c r="A875" s="12"/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5"/>
      <c r="V875" s="16" t="str">
        <f t="shared" si="26"/>
        <v/>
      </c>
      <c r="W875" s="16" t="str">
        <f t="shared" si="27"/>
        <v/>
      </c>
    </row>
    <row r="876" spans="1:23">
      <c r="A876" s="12"/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5"/>
      <c r="V876" s="16" t="str">
        <f t="shared" si="26"/>
        <v/>
      </c>
      <c r="W876" s="16" t="str">
        <f t="shared" si="27"/>
        <v/>
      </c>
    </row>
    <row r="877" spans="1:23">
      <c r="A877" s="12"/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5"/>
      <c r="V877" s="16" t="str">
        <f t="shared" si="26"/>
        <v/>
      </c>
      <c r="W877" s="16" t="str">
        <f t="shared" si="27"/>
        <v/>
      </c>
    </row>
    <row r="878" spans="1:23">
      <c r="A878" s="12"/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5"/>
      <c r="V878" s="16" t="str">
        <f t="shared" si="26"/>
        <v/>
      </c>
      <c r="W878" s="16" t="str">
        <f t="shared" si="27"/>
        <v/>
      </c>
    </row>
    <row r="879" spans="1:23">
      <c r="A879" s="12"/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5"/>
      <c r="V879" s="16" t="str">
        <f t="shared" si="26"/>
        <v/>
      </c>
      <c r="W879" s="16" t="str">
        <f t="shared" si="27"/>
        <v/>
      </c>
    </row>
    <row r="880" spans="1:23">
      <c r="A880" s="12"/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5"/>
      <c r="V880" s="16" t="str">
        <f t="shared" si="26"/>
        <v/>
      </c>
      <c r="W880" s="16" t="str">
        <f t="shared" si="27"/>
        <v/>
      </c>
    </row>
    <row r="881" spans="1:23">
      <c r="A881" s="12"/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5"/>
      <c r="V881" s="16" t="str">
        <f t="shared" si="26"/>
        <v/>
      </c>
      <c r="W881" s="16" t="str">
        <f t="shared" si="27"/>
        <v/>
      </c>
    </row>
    <row r="882" spans="1:23">
      <c r="A882" s="12"/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5"/>
      <c r="V882" s="16" t="str">
        <f t="shared" si="26"/>
        <v/>
      </c>
      <c r="W882" s="16" t="str">
        <f t="shared" si="27"/>
        <v/>
      </c>
    </row>
    <row r="883" spans="1:23">
      <c r="A883" s="12"/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5"/>
      <c r="V883" s="16" t="str">
        <f t="shared" si="26"/>
        <v/>
      </c>
      <c r="W883" s="16" t="str">
        <f t="shared" si="27"/>
        <v/>
      </c>
    </row>
    <row r="884" spans="1:23">
      <c r="A884" s="12"/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5"/>
      <c r="V884" s="16" t="str">
        <f t="shared" si="26"/>
        <v/>
      </c>
      <c r="W884" s="16" t="str">
        <f t="shared" si="27"/>
        <v/>
      </c>
    </row>
    <row r="885" spans="1:23">
      <c r="A885" s="12"/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5"/>
      <c r="V885" s="16" t="str">
        <f t="shared" si="26"/>
        <v/>
      </c>
      <c r="W885" s="16" t="str">
        <f t="shared" si="27"/>
        <v/>
      </c>
    </row>
    <row r="886" spans="1:23">
      <c r="A886" s="12"/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5"/>
      <c r="V886" s="16" t="str">
        <f t="shared" si="26"/>
        <v/>
      </c>
      <c r="W886" s="16" t="str">
        <f t="shared" si="27"/>
        <v/>
      </c>
    </row>
    <row r="887" spans="1:23">
      <c r="A887" s="12"/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5"/>
      <c r="V887" s="16" t="str">
        <f t="shared" si="26"/>
        <v/>
      </c>
      <c r="W887" s="16" t="str">
        <f t="shared" si="27"/>
        <v/>
      </c>
    </row>
    <row r="888" spans="1:23">
      <c r="A888" s="12"/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5"/>
      <c r="V888" s="16" t="str">
        <f t="shared" si="26"/>
        <v/>
      </c>
      <c r="W888" s="16" t="str">
        <f t="shared" si="27"/>
        <v/>
      </c>
    </row>
    <row r="889" spans="1:23">
      <c r="A889" s="12"/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5"/>
      <c r="V889" s="16" t="str">
        <f t="shared" si="26"/>
        <v/>
      </c>
      <c r="W889" s="16" t="str">
        <f t="shared" si="27"/>
        <v/>
      </c>
    </row>
    <row r="890" spans="1:23">
      <c r="A890" s="12"/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5"/>
      <c r="V890" s="16" t="str">
        <f t="shared" si="26"/>
        <v/>
      </c>
      <c r="W890" s="16" t="str">
        <f t="shared" si="27"/>
        <v/>
      </c>
    </row>
    <row r="891" spans="1:23">
      <c r="A891" s="12"/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5"/>
      <c r="V891" s="16" t="str">
        <f t="shared" si="26"/>
        <v/>
      </c>
      <c r="W891" s="16" t="str">
        <f t="shared" si="27"/>
        <v/>
      </c>
    </row>
    <row r="892" spans="1:23">
      <c r="A892" s="12"/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5"/>
      <c r="V892" s="16" t="str">
        <f t="shared" si="26"/>
        <v/>
      </c>
      <c r="W892" s="16" t="str">
        <f t="shared" si="27"/>
        <v/>
      </c>
    </row>
    <row r="893" spans="1:23">
      <c r="A893" s="12"/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5"/>
      <c r="V893" s="16" t="str">
        <f t="shared" si="26"/>
        <v/>
      </c>
      <c r="W893" s="16" t="str">
        <f t="shared" si="27"/>
        <v/>
      </c>
    </row>
    <row r="894" spans="1:23">
      <c r="A894" s="12"/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5"/>
      <c r="V894" s="16" t="str">
        <f t="shared" si="26"/>
        <v/>
      </c>
      <c r="W894" s="16" t="str">
        <f t="shared" si="27"/>
        <v/>
      </c>
    </row>
    <row r="895" spans="1:23">
      <c r="A895" s="12"/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5"/>
      <c r="V895" s="16" t="str">
        <f t="shared" si="26"/>
        <v/>
      </c>
      <c r="W895" s="16" t="str">
        <f t="shared" si="27"/>
        <v/>
      </c>
    </row>
    <row r="896" spans="1:23">
      <c r="A896" s="12"/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5"/>
      <c r="V896" s="16" t="str">
        <f t="shared" si="26"/>
        <v/>
      </c>
      <c r="W896" s="16" t="str">
        <f t="shared" si="27"/>
        <v/>
      </c>
    </row>
    <row r="897" spans="1:23">
      <c r="A897" s="12"/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5"/>
      <c r="V897" s="16" t="str">
        <f t="shared" si="26"/>
        <v/>
      </c>
      <c r="W897" s="16" t="str">
        <f t="shared" si="27"/>
        <v/>
      </c>
    </row>
    <row r="898" spans="1:23">
      <c r="A898" s="12"/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5"/>
      <c r="V898" s="16" t="str">
        <f t="shared" si="26"/>
        <v/>
      </c>
      <c r="W898" s="16" t="str">
        <f t="shared" si="27"/>
        <v/>
      </c>
    </row>
    <row r="899" spans="1:23">
      <c r="A899" s="12"/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5"/>
      <c r="V899" s="16" t="str">
        <f t="shared" si="26"/>
        <v/>
      </c>
      <c r="W899" s="16" t="str">
        <f t="shared" si="27"/>
        <v/>
      </c>
    </row>
    <row r="900" spans="1:23">
      <c r="A900" s="12"/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5"/>
      <c r="V900" s="16" t="str">
        <f t="shared" si="26"/>
        <v/>
      </c>
      <c r="W900" s="16" t="str">
        <f t="shared" si="27"/>
        <v/>
      </c>
    </row>
    <row r="901" spans="1:23">
      <c r="A901" s="12"/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5"/>
      <c r="V901" s="16" t="str">
        <f t="shared" si="26"/>
        <v/>
      </c>
      <c r="W901" s="16" t="str">
        <f t="shared" si="27"/>
        <v/>
      </c>
    </row>
    <row r="902" spans="1:23">
      <c r="A902" s="12"/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5"/>
      <c r="V902" s="16" t="str">
        <f t="shared" si="26"/>
        <v/>
      </c>
      <c r="W902" s="16" t="str">
        <f t="shared" si="27"/>
        <v/>
      </c>
    </row>
    <row r="903" spans="1:23">
      <c r="A903" s="12"/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5"/>
      <c r="V903" s="16" t="str">
        <f t="shared" ref="V903:V966" si="28">IF(COUNTA($A903:$U903)=0,"",SUM($C903:$G903)-SUM($H903:$I903)-$J903+$K903-$L903-$M903+SUM($N903:$Q903))</f>
        <v/>
      </c>
      <c r="W903" s="16" t="str">
        <f t="shared" ref="W903:W966" si="29">IF(COUNTA($A903:$U903)=0,"",$C903-SUM($R903:$T903))</f>
        <v/>
      </c>
    </row>
    <row r="904" spans="1:23">
      <c r="A904" s="12"/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5"/>
      <c r="V904" s="16" t="str">
        <f t="shared" si="28"/>
        <v/>
      </c>
      <c r="W904" s="16" t="str">
        <f t="shared" si="29"/>
        <v/>
      </c>
    </row>
    <row r="905" spans="1:23">
      <c r="A905" s="12"/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5"/>
      <c r="V905" s="16" t="str">
        <f t="shared" si="28"/>
        <v/>
      </c>
      <c r="W905" s="16" t="str">
        <f t="shared" si="29"/>
        <v/>
      </c>
    </row>
    <row r="906" spans="1:23">
      <c r="A906" s="12"/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5"/>
      <c r="V906" s="16" t="str">
        <f t="shared" si="28"/>
        <v/>
      </c>
      <c r="W906" s="16" t="str">
        <f t="shared" si="29"/>
        <v/>
      </c>
    </row>
    <row r="907" spans="1:23">
      <c r="A907" s="12"/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5"/>
      <c r="V907" s="16" t="str">
        <f t="shared" si="28"/>
        <v/>
      </c>
      <c r="W907" s="16" t="str">
        <f t="shared" si="29"/>
        <v/>
      </c>
    </row>
    <row r="908" spans="1:23">
      <c r="A908" s="12"/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5"/>
      <c r="V908" s="16" t="str">
        <f t="shared" si="28"/>
        <v/>
      </c>
      <c r="W908" s="16" t="str">
        <f t="shared" si="29"/>
        <v/>
      </c>
    </row>
    <row r="909" spans="1:23">
      <c r="A909" s="12"/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5"/>
      <c r="V909" s="16" t="str">
        <f t="shared" si="28"/>
        <v/>
      </c>
      <c r="W909" s="16" t="str">
        <f t="shared" si="29"/>
        <v/>
      </c>
    </row>
    <row r="910" spans="1:23">
      <c r="A910" s="12"/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5"/>
      <c r="V910" s="16" t="str">
        <f t="shared" si="28"/>
        <v/>
      </c>
      <c r="W910" s="16" t="str">
        <f t="shared" si="29"/>
        <v/>
      </c>
    </row>
    <row r="911" spans="1:23">
      <c r="A911" s="12"/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5"/>
      <c r="V911" s="16" t="str">
        <f t="shared" si="28"/>
        <v/>
      </c>
      <c r="W911" s="16" t="str">
        <f t="shared" si="29"/>
        <v/>
      </c>
    </row>
    <row r="912" spans="1:23">
      <c r="A912" s="12"/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5"/>
      <c r="V912" s="16" t="str">
        <f t="shared" si="28"/>
        <v/>
      </c>
      <c r="W912" s="16" t="str">
        <f t="shared" si="29"/>
        <v/>
      </c>
    </row>
    <row r="913" spans="1:23">
      <c r="A913" s="12"/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5"/>
      <c r="V913" s="16" t="str">
        <f t="shared" si="28"/>
        <v/>
      </c>
      <c r="W913" s="16" t="str">
        <f t="shared" si="29"/>
        <v/>
      </c>
    </row>
    <row r="914" spans="1:23">
      <c r="A914" s="12"/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5"/>
      <c r="V914" s="16" t="str">
        <f t="shared" si="28"/>
        <v/>
      </c>
      <c r="W914" s="16" t="str">
        <f t="shared" si="29"/>
        <v/>
      </c>
    </row>
    <row r="915" spans="1:23">
      <c r="A915" s="12"/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5"/>
      <c r="V915" s="16" t="str">
        <f t="shared" si="28"/>
        <v/>
      </c>
      <c r="W915" s="16" t="str">
        <f t="shared" si="29"/>
        <v/>
      </c>
    </row>
    <row r="916" spans="1:23">
      <c r="A916" s="12"/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5"/>
      <c r="V916" s="16" t="str">
        <f t="shared" si="28"/>
        <v/>
      </c>
      <c r="W916" s="16" t="str">
        <f t="shared" si="29"/>
        <v/>
      </c>
    </row>
    <row r="917" spans="1:23">
      <c r="A917" s="12"/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5"/>
      <c r="V917" s="16" t="str">
        <f t="shared" si="28"/>
        <v/>
      </c>
      <c r="W917" s="16" t="str">
        <f t="shared" si="29"/>
        <v/>
      </c>
    </row>
    <row r="918" spans="1:23">
      <c r="A918" s="12"/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5"/>
      <c r="V918" s="16" t="str">
        <f t="shared" si="28"/>
        <v/>
      </c>
      <c r="W918" s="16" t="str">
        <f t="shared" si="29"/>
        <v/>
      </c>
    </row>
    <row r="919" spans="1:23">
      <c r="A919" s="12"/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5"/>
      <c r="V919" s="16" t="str">
        <f t="shared" si="28"/>
        <v/>
      </c>
      <c r="W919" s="16" t="str">
        <f t="shared" si="29"/>
        <v/>
      </c>
    </row>
    <row r="920" spans="1:23">
      <c r="A920" s="12"/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5"/>
      <c r="V920" s="16" t="str">
        <f t="shared" si="28"/>
        <v/>
      </c>
      <c r="W920" s="16" t="str">
        <f t="shared" si="29"/>
        <v/>
      </c>
    </row>
    <row r="921" spans="1:23">
      <c r="A921" s="12"/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5"/>
      <c r="V921" s="16" t="str">
        <f t="shared" si="28"/>
        <v/>
      </c>
      <c r="W921" s="16" t="str">
        <f t="shared" si="29"/>
        <v/>
      </c>
    </row>
    <row r="922" spans="1:23">
      <c r="A922" s="12"/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5"/>
      <c r="V922" s="16" t="str">
        <f t="shared" si="28"/>
        <v/>
      </c>
      <c r="W922" s="16" t="str">
        <f t="shared" si="29"/>
        <v/>
      </c>
    </row>
    <row r="923" spans="1:23">
      <c r="A923" s="12"/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5"/>
      <c r="V923" s="16" t="str">
        <f t="shared" si="28"/>
        <v/>
      </c>
      <c r="W923" s="16" t="str">
        <f t="shared" si="29"/>
        <v/>
      </c>
    </row>
    <row r="924" spans="1:23">
      <c r="A924" s="12"/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5"/>
      <c r="V924" s="16" t="str">
        <f t="shared" si="28"/>
        <v/>
      </c>
      <c r="W924" s="16" t="str">
        <f t="shared" si="29"/>
        <v/>
      </c>
    </row>
    <row r="925" spans="1:23">
      <c r="A925" s="12"/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5"/>
      <c r="V925" s="16" t="str">
        <f t="shared" si="28"/>
        <v/>
      </c>
      <c r="W925" s="16" t="str">
        <f t="shared" si="29"/>
        <v/>
      </c>
    </row>
    <row r="926" spans="1:23">
      <c r="A926" s="12"/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5"/>
      <c r="V926" s="16" t="str">
        <f t="shared" si="28"/>
        <v/>
      </c>
      <c r="W926" s="16" t="str">
        <f t="shared" si="29"/>
        <v/>
      </c>
    </row>
    <row r="927" spans="1:23">
      <c r="A927" s="12"/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5"/>
      <c r="V927" s="16" t="str">
        <f t="shared" si="28"/>
        <v/>
      </c>
      <c r="W927" s="16" t="str">
        <f t="shared" si="29"/>
        <v/>
      </c>
    </row>
    <row r="928" spans="1:23">
      <c r="A928" s="12"/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5"/>
      <c r="V928" s="16" t="str">
        <f t="shared" si="28"/>
        <v/>
      </c>
      <c r="W928" s="16" t="str">
        <f t="shared" si="29"/>
        <v/>
      </c>
    </row>
    <row r="929" spans="1:23">
      <c r="A929" s="12"/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5"/>
      <c r="V929" s="16" t="str">
        <f t="shared" si="28"/>
        <v/>
      </c>
      <c r="W929" s="16" t="str">
        <f t="shared" si="29"/>
        <v/>
      </c>
    </row>
    <row r="930" spans="1:23">
      <c r="A930" s="12"/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5"/>
      <c r="V930" s="16" t="str">
        <f t="shared" si="28"/>
        <v/>
      </c>
      <c r="W930" s="16" t="str">
        <f t="shared" si="29"/>
        <v/>
      </c>
    </row>
    <row r="931" spans="1:23">
      <c r="A931" s="12"/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5"/>
      <c r="V931" s="16" t="str">
        <f t="shared" si="28"/>
        <v/>
      </c>
      <c r="W931" s="16" t="str">
        <f t="shared" si="29"/>
        <v/>
      </c>
    </row>
    <row r="932" spans="1:23">
      <c r="A932" s="12"/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5"/>
      <c r="V932" s="16" t="str">
        <f t="shared" si="28"/>
        <v/>
      </c>
      <c r="W932" s="16" t="str">
        <f t="shared" si="29"/>
        <v/>
      </c>
    </row>
    <row r="933" spans="1:23">
      <c r="A933" s="12"/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5"/>
      <c r="V933" s="16" t="str">
        <f t="shared" si="28"/>
        <v/>
      </c>
      <c r="W933" s="16" t="str">
        <f t="shared" si="29"/>
        <v/>
      </c>
    </row>
    <row r="934" spans="1:23">
      <c r="A934" s="12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5"/>
      <c r="V934" s="16" t="str">
        <f t="shared" si="28"/>
        <v/>
      </c>
      <c r="W934" s="16" t="str">
        <f t="shared" si="29"/>
        <v/>
      </c>
    </row>
    <row r="935" spans="1:23">
      <c r="A935" s="12"/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5"/>
      <c r="V935" s="16" t="str">
        <f t="shared" si="28"/>
        <v/>
      </c>
      <c r="W935" s="16" t="str">
        <f t="shared" si="29"/>
        <v/>
      </c>
    </row>
    <row r="936" spans="1:23">
      <c r="A936" s="12"/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5"/>
      <c r="V936" s="16" t="str">
        <f t="shared" si="28"/>
        <v/>
      </c>
      <c r="W936" s="16" t="str">
        <f t="shared" si="29"/>
        <v/>
      </c>
    </row>
    <row r="937" spans="1:23">
      <c r="A937" s="12"/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5"/>
      <c r="V937" s="16" t="str">
        <f t="shared" si="28"/>
        <v/>
      </c>
      <c r="W937" s="16" t="str">
        <f t="shared" si="29"/>
        <v/>
      </c>
    </row>
    <row r="938" spans="1:23">
      <c r="A938" s="12"/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5"/>
      <c r="V938" s="16" t="str">
        <f t="shared" si="28"/>
        <v/>
      </c>
      <c r="W938" s="16" t="str">
        <f t="shared" si="29"/>
        <v/>
      </c>
    </row>
    <row r="939" spans="1:23">
      <c r="A939" s="12"/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5"/>
      <c r="V939" s="16" t="str">
        <f t="shared" si="28"/>
        <v/>
      </c>
      <c r="W939" s="16" t="str">
        <f t="shared" si="29"/>
        <v/>
      </c>
    </row>
    <row r="940" spans="1:23">
      <c r="A940" s="12"/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5"/>
      <c r="V940" s="16" t="str">
        <f t="shared" si="28"/>
        <v/>
      </c>
      <c r="W940" s="16" t="str">
        <f t="shared" si="29"/>
        <v/>
      </c>
    </row>
    <row r="941" spans="1:23">
      <c r="A941" s="12"/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5"/>
      <c r="V941" s="16" t="str">
        <f t="shared" si="28"/>
        <v/>
      </c>
      <c r="W941" s="16" t="str">
        <f t="shared" si="29"/>
        <v/>
      </c>
    </row>
    <row r="942" spans="1:23">
      <c r="A942" s="12"/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5"/>
      <c r="V942" s="16" t="str">
        <f t="shared" si="28"/>
        <v/>
      </c>
      <c r="W942" s="16" t="str">
        <f t="shared" si="29"/>
        <v/>
      </c>
    </row>
    <row r="943" spans="1:23">
      <c r="A943" s="12"/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5"/>
      <c r="V943" s="16" t="str">
        <f t="shared" si="28"/>
        <v/>
      </c>
      <c r="W943" s="16" t="str">
        <f t="shared" si="29"/>
        <v/>
      </c>
    </row>
    <row r="944" spans="1:23">
      <c r="A944" s="12"/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5"/>
      <c r="V944" s="16" t="str">
        <f t="shared" si="28"/>
        <v/>
      </c>
      <c r="W944" s="16" t="str">
        <f t="shared" si="29"/>
        <v/>
      </c>
    </row>
    <row r="945" spans="1:23">
      <c r="A945" s="12"/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5"/>
      <c r="V945" s="16" t="str">
        <f t="shared" si="28"/>
        <v/>
      </c>
      <c r="W945" s="16" t="str">
        <f t="shared" si="29"/>
        <v/>
      </c>
    </row>
    <row r="946" spans="1:23">
      <c r="A946" s="12"/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5"/>
      <c r="V946" s="16" t="str">
        <f t="shared" si="28"/>
        <v/>
      </c>
      <c r="W946" s="16" t="str">
        <f t="shared" si="29"/>
        <v/>
      </c>
    </row>
    <row r="947" spans="1:23">
      <c r="A947" s="12"/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5"/>
      <c r="V947" s="16" t="str">
        <f t="shared" si="28"/>
        <v/>
      </c>
      <c r="W947" s="16" t="str">
        <f t="shared" si="29"/>
        <v/>
      </c>
    </row>
    <row r="948" spans="1:23">
      <c r="A948" s="12"/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5"/>
      <c r="V948" s="16" t="str">
        <f t="shared" si="28"/>
        <v/>
      </c>
      <c r="W948" s="16" t="str">
        <f t="shared" si="29"/>
        <v/>
      </c>
    </row>
    <row r="949" spans="1:23">
      <c r="A949" s="12"/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5"/>
      <c r="V949" s="16" t="str">
        <f t="shared" si="28"/>
        <v/>
      </c>
      <c r="W949" s="16" t="str">
        <f t="shared" si="29"/>
        <v/>
      </c>
    </row>
    <row r="950" spans="1:23">
      <c r="A950" s="12"/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5"/>
      <c r="V950" s="16" t="str">
        <f t="shared" si="28"/>
        <v/>
      </c>
      <c r="W950" s="16" t="str">
        <f t="shared" si="29"/>
        <v/>
      </c>
    </row>
    <row r="951" spans="1:23">
      <c r="A951" s="12"/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5"/>
      <c r="V951" s="16" t="str">
        <f t="shared" si="28"/>
        <v/>
      </c>
      <c r="W951" s="16" t="str">
        <f t="shared" si="29"/>
        <v/>
      </c>
    </row>
    <row r="952" spans="1:23">
      <c r="A952" s="12"/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5"/>
      <c r="V952" s="16" t="str">
        <f t="shared" si="28"/>
        <v/>
      </c>
      <c r="W952" s="16" t="str">
        <f t="shared" si="29"/>
        <v/>
      </c>
    </row>
    <row r="953" spans="1:23">
      <c r="A953" s="12"/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5"/>
      <c r="V953" s="16" t="str">
        <f t="shared" si="28"/>
        <v/>
      </c>
      <c r="W953" s="16" t="str">
        <f t="shared" si="29"/>
        <v/>
      </c>
    </row>
    <row r="954" spans="1:23">
      <c r="A954" s="12"/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5"/>
      <c r="V954" s="16" t="str">
        <f t="shared" si="28"/>
        <v/>
      </c>
      <c r="W954" s="16" t="str">
        <f t="shared" si="29"/>
        <v/>
      </c>
    </row>
    <row r="955" spans="1:23">
      <c r="A955" s="12"/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5"/>
      <c r="V955" s="16" t="str">
        <f t="shared" si="28"/>
        <v/>
      </c>
      <c r="W955" s="16" t="str">
        <f t="shared" si="29"/>
        <v/>
      </c>
    </row>
    <row r="956" spans="1:23">
      <c r="A956" s="12"/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5"/>
      <c r="V956" s="16" t="str">
        <f t="shared" si="28"/>
        <v/>
      </c>
      <c r="W956" s="16" t="str">
        <f t="shared" si="29"/>
        <v/>
      </c>
    </row>
    <row r="957" spans="1:23">
      <c r="A957" s="12"/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5"/>
      <c r="V957" s="16" t="str">
        <f t="shared" si="28"/>
        <v/>
      </c>
      <c r="W957" s="16" t="str">
        <f t="shared" si="29"/>
        <v/>
      </c>
    </row>
    <row r="958" spans="1:23">
      <c r="A958" s="12"/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5"/>
      <c r="V958" s="16" t="str">
        <f t="shared" si="28"/>
        <v/>
      </c>
      <c r="W958" s="16" t="str">
        <f t="shared" si="29"/>
        <v/>
      </c>
    </row>
    <row r="959" spans="1:23">
      <c r="A959" s="12"/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5"/>
      <c r="V959" s="16" t="str">
        <f t="shared" si="28"/>
        <v/>
      </c>
      <c r="W959" s="16" t="str">
        <f t="shared" si="29"/>
        <v/>
      </c>
    </row>
    <row r="960" spans="1:23">
      <c r="A960" s="12"/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5"/>
      <c r="V960" s="16" t="str">
        <f t="shared" si="28"/>
        <v/>
      </c>
      <c r="W960" s="16" t="str">
        <f t="shared" si="29"/>
        <v/>
      </c>
    </row>
    <row r="961" spans="1:23">
      <c r="A961" s="12"/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5"/>
      <c r="V961" s="16" t="str">
        <f t="shared" si="28"/>
        <v/>
      </c>
      <c r="W961" s="16" t="str">
        <f t="shared" si="29"/>
        <v/>
      </c>
    </row>
    <row r="962" spans="1:23">
      <c r="A962" s="12"/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5"/>
      <c r="V962" s="16" t="str">
        <f t="shared" si="28"/>
        <v/>
      </c>
      <c r="W962" s="16" t="str">
        <f t="shared" si="29"/>
        <v/>
      </c>
    </row>
    <row r="963" spans="1:23">
      <c r="A963" s="12"/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5"/>
      <c r="V963" s="16" t="str">
        <f t="shared" si="28"/>
        <v/>
      </c>
      <c r="W963" s="16" t="str">
        <f t="shared" si="29"/>
        <v/>
      </c>
    </row>
    <row r="964" spans="1:23">
      <c r="A964" s="12"/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5"/>
      <c r="V964" s="16" t="str">
        <f t="shared" si="28"/>
        <v/>
      </c>
      <c r="W964" s="16" t="str">
        <f t="shared" si="29"/>
        <v/>
      </c>
    </row>
    <row r="965" spans="1:23">
      <c r="A965" s="12"/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5"/>
      <c r="V965" s="16" t="str">
        <f t="shared" si="28"/>
        <v/>
      </c>
      <c r="W965" s="16" t="str">
        <f t="shared" si="29"/>
        <v/>
      </c>
    </row>
    <row r="966" spans="1:23">
      <c r="A966" s="12"/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5"/>
      <c r="V966" s="16" t="str">
        <f t="shared" si="28"/>
        <v/>
      </c>
      <c r="W966" s="16" t="str">
        <f t="shared" si="29"/>
        <v/>
      </c>
    </row>
    <row r="967" spans="1:23">
      <c r="A967" s="12"/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5"/>
      <c r="V967" s="16" t="str">
        <f t="shared" ref="V967:V1006" si="30">IF(COUNTA($A967:$U967)=0,"",SUM($C967:$G967)-SUM($H967:$I967)-$J967+$K967-$L967-$M967+SUM($N967:$Q967))</f>
        <v/>
      </c>
      <c r="W967" s="16" t="str">
        <f t="shared" ref="W967:W1006" si="31">IF(COUNTA($A967:$U967)=0,"",$C967-SUM($R967:$T967))</f>
        <v/>
      </c>
    </row>
    <row r="968" spans="1:23">
      <c r="A968" s="12"/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5"/>
      <c r="V968" s="16" t="str">
        <f t="shared" si="30"/>
        <v/>
      </c>
      <c r="W968" s="16" t="str">
        <f t="shared" si="31"/>
        <v/>
      </c>
    </row>
    <row r="969" spans="1:23">
      <c r="A969" s="12"/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5"/>
      <c r="V969" s="16" t="str">
        <f t="shared" si="30"/>
        <v/>
      </c>
      <c r="W969" s="16" t="str">
        <f t="shared" si="31"/>
        <v/>
      </c>
    </row>
    <row r="970" spans="1:23">
      <c r="A970" s="12"/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5"/>
      <c r="V970" s="16" t="str">
        <f t="shared" si="30"/>
        <v/>
      </c>
      <c r="W970" s="16" t="str">
        <f t="shared" si="31"/>
        <v/>
      </c>
    </row>
    <row r="971" spans="1:23">
      <c r="A971" s="12"/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5"/>
      <c r="V971" s="16" t="str">
        <f t="shared" si="30"/>
        <v/>
      </c>
      <c r="W971" s="16" t="str">
        <f t="shared" si="31"/>
        <v/>
      </c>
    </row>
    <row r="972" spans="1:23">
      <c r="A972" s="12"/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5"/>
      <c r="V972" s="16" t="str">
        <f t="shared" si="30"/>
        <v/>
      </c>
      <c r="W972" s="16" t="str">
        <f t="shared" si="31"/>
        <v/>
      </c>
    </row>
    <row r="973" spans="1:23">
      <c r="A973" s="12"/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5"/>
      <c r="V973" s="16" t="str">
        <f t="shared" si="30"/>
        <v/>
      </c>
      <c r="W973" s="16" t="str">
        <f t="shared" si="31"/>
        <v/>
      </c>
    </row>
    <row r="974" spans="1:23">
      <c r="A974" s="12"/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5"/>
      <c r="V974" s="16" t="str">
        <f t="shared" si="30"/>
        <v/>
      </c>
      <c r="W974" s="16" t="str">
        <f t="shared" si="31"/>
        <v/>
      </c>
    </row>
    <row r="975" spans="1:23">
      <c r="A975" s="12"/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5"/>
      <c r="V975" s="16" t="str">
        <f t="shared" si="30"/>
        <v/>
      </c>
      <c r="W975" s="16" t="str">
        <f t="shared" si="31"/>
        <v/>
      </c>
    </row>
    <row r="976" spans="1:23">
      <c r="A976" s="12"/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5"/>
      <c r="V976" s="16" t="str">
        <f t="shared" si="30"/>
        <v/>
      </c>
      <c r="W976" s="16" t="str">
        <f t="shared" si="31"/>
        <v/>
      </c>
    </row>
    <row r="977" spans="1:23">
      <c r="A977" s="12"/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5"/>
      <c r="V977" s="16" t="str">
        <f t="shared" si="30"/>
        <v/>
      </c>
      <c r="W977" s="16" t="str">
        <f t="shared" si="31"/>
        <v/>
      </c>
    </row>
    <row r="978" spans="1:23">
      <c r="A978" s="12"/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5"/>
      <c r="V978" s="16" t="str">
        <f t="shared" si="30"/>
        <v/>
      </c>
      <c r="W978" s="16" t="str">
        <f t="shared" si="31"/>
        <v/>
      </c>
    </row>
    <row r="979" spans="1:23">
      <c r="A979" s="12"/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5"/>
      <c r="V979" s="16" t="str">
        <f t="shared" si="30"/>
        <v/>
      </c>
      <c r="W979" s="16" t="str">
        <f t="shared" si="31"/>
        <v/>
      </c>
    </row>
    <row r="980" spans="1:23">
      <c r="A980" s="12"/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5"/>
      <c r="V980" s="16" t="str">
        <f t="shared" si="30"/>
        <v/>
      </c>
      <c r="W980" s="16" t="str">
        <f t="shared" si="31"/>
        <v/>
      </c>
    </row>
    <row r="981" spans="1:23">
      <c r="A981" s="12"/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5"/>
      <c r="V981" s="16" t="str">
        <f t="shared" si="30"/>
        <v/>
      </c>
      <c r="W981" s="16" t="str">
        <f t="shared" si="31"/>
        <v/>
      </c>
    </row>
    <row r="982" spans="1:23">
      <c r="A982" s="12"/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5"/>
      <c r="V982" s="16" t="str">
        <f t="shared" si="30"/>
        <v/>
      </c>
      <c r="W982" s="16" t="str">
        <f t="shared" si="31"/>
        <v/>
      </c>
    </row>
    <row r="983" spans="1:23">
      <c r="A983" s="12"/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5"/>
      <c r="V983" s="16" t="str">
        <f t="shared" si="30"/>
        <v/>
      </c>
      <c r="W983" s="16" t="str">
        <f t="shared" si="31"/>
        <v/>
      </c>
    </row>
    <row r="984" spans="1:23">
      <c r="A984" s="12"/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5"/>
      <c r="V984" s="16" t="str">
        <f t="shared" si="30"/>
        <v/>
      </c>
      <c r="W984" s="16" t="str">
        <f t="shared" si="31"/>
        <v/>
      </c>
    </row>
    <row r="985" spans="1:23">
      <c r="A985" s="12"/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5"/>
      <c r="V985" s="16" t="str">
        <f t="shared" si="30"/>
        <v/>
      </c>
      <c r="W985" s="16" t="str">
        <f t="shared" si="31"/>
        <v/>
      </c>
    </row>
    <row r="986" spans="1:23">
      <c r="A986" s="12"/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5"/>
      <c r="V986" s="16" t="str">
        <f t="shared" si="30"/>
        <v/>
      </c>
      <c r="W986" s="16" t="str">
        <f t="shared" si="31"/>
        <v/>
      </c>
    </row>
    <row r="987" spans="1:23">
      <c r="A987" s="12"/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5"/>
      <c r="V987" s="16" t="str">
        <f t="shared" si="30"/>
        <v/>
      </c>
      <c r="W987" s="16" t="str">
        <f t="shared" si="31"/>
        <v/>
      </c>
    </row>
    <row r="988" spans="1:23">
      <c r="A988" s="12"/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5"/>
      <c r="V988" s="16" t="str">
        <f t="shared" si="30"/>
        <v/>
      </c>
      <c r="W988" s="16" t="str">
        <f t="shared" si="31"/>
        <v/>
      </c>
    </row>
    <row r="989" spans="1:23">
      <c r="A989" s="12"/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5"/>
      <c r="V989" s="16" t="str">
        <f t="shared" si="30"/>
        <v/>
      </c>
      <c r="W989" s="16" t="str">
        <f t="shared" si="31"/>
        <v/>
      </c>
    </row>
    <row r="990" spans="1:23">
      <c r="A990" s="12"/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5"/>
      <c r="V990" s="16" t="str">
        <f t="shared" si="30"/>
        <v/>
      </c>
      <c r="W990" s="16" t="str">
        <f t="shared" si="31"/>
        <v/>
      </c>
    </row>
    <row r="991" spans="1:23">
      <c r="A991" s="12"/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5"/>
      <c r="V991" s="16" t="str">
        <f t="shared" si="30"/>
        <v/>
      </c>
      <c r="W991" s="16" t="str">
        <f t="shared" si="31"/>
        <v/>
      </c>
    </row>
    <row r="992" spans="1:23">
      <c r="A992" s="12"/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5"/>
      <c r="V992" s="16" t="str">
        <f t="shared" si="30"/>
        <v/>
      </c>
      <c r="W992" s="16" t="str">
        <f t="shared" si="31"/>
        <v/>
      </c>
    </row>
    <row r="993" spans="1:23">
      <c r="A993" s="12"/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5"/>
      <c r="V993" s="16" t="str">
        <f t="shared" si="30"/>
        <v/>
      </c>
      <c r="W993" s="16" t="str">
        <f t="shared" si="31"/>
        <v/>
      </c>
    </row>
    <row r="994" spans="1:23">
      <c r="A994" s="12"/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5"/>
      <c r="V994" s="16" t="str">
        <f t="shared" si="30"/>
        <v/>
      </c>
      <c r="W994" s="16" t="str">
        <f t="shared" si="31"/>
        <v/>
      </c>
    </row>
    <row r="995" spans="1:23">
      <c r="A995" s="12"/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5"/>
      <c r="V995" s="16" t="str">
        <f t="shared" si="30"/>
        <v/>
      </c>
      <c r="W995" s="16" t="str">
        <f t="shared" si="31"/>
        <v/>
      </c>
    </row>
    <row r="996" spans="1:23">
      <c r="A996" s="12"/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5"/>
      <c r="V996" s="16" t="str">
        <f t="shared" si="30"/>
        <v/>
      </c>
      <c r="W996" s="16" t="str">
        <f t="shared" si="31"/>
        <v/>
      </c>
    </row>
    <row r="997" spans="1:23">
      <c r="A997" s="12"/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5"/>
      <c r="V997" s="16" t="str">
        <f t="shared" si="30"/>
        <v/>
      </c>
      <c r="W997" s="16" t="str">
        <f t="shared" si="31"/>
        <v/>
      </c>
    </row>
    <row r="998" spans="1:23">
      <c r="A998" s="12"/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5"/>
      <c r="V998" s="16" t="str">
        <f t="shared" si="30"/>
        <v/>
      </c>
      <c r="W998" s="16" t="str">
        <f t="shared" si="31"/>
        <v/>
      </c>
    </row>
    <row r="999" spans="1:23">
      <c r="A999" s="12"/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5"/>
      <c r="V999" s="16" t="str">
        <f t="shared" si="30"/>
        <v/>
      </c>
      <c r="W999" s="16" t="str">
        <f t="shared" si="31"/>
        <v/>
      </c>
    </row>
    <row r="1000" spans="1:23">
      <c r="A1000" s="12"/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5"/>
      <c r="V1000" s="16" t="str">
        <f t="shared" si="30"/>
        <v/>
      </c>
      <c r="W1000" s="16" t="str">
        <f t="shared" si="31"/>
        <v/>
      </c>
    </row>
    <row r="1001" spans="1:23">
      <c r="A1001" s="12"/>
      <c r="B1001" s="13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5"/>
      <c r="V1001" s="16" t="str">
        <f t="shared" si="30"/>
        <v/>
      </c>
      <c r="W1001" s="16" t="str">
        <f t="shared" si="31"/>
        <v/>
      </c>
    </row>
    <row r="1002" spans="1:23">
      <c r="A1002" s="12"/>
      <c r="B1002" s="13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5"/>
      <c r="V1002" s="16" t="str">
        <f t="shared" si="30"/>
        <v/>
      </c>
      <c r="W1002" s="16" t="str">
        <f t="shared" si="31"/>
        <v/>
      </c>
    </row>
    <row r="1003" spans="1:23">
      <c r="A1003" s="12"/>
      <c r="B1003" s="13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5"/>
      <c r="V1003" s="16" t="str">
        <f t="shared" si="30"/>
        <v/>
      </c>
      <c r="W1003" s="16" t="str">
        <f t="shared" si="31"/>
        <v/>
      </c>
    </row>
    <row r="1004" spans="1:23">
      <c r="A1004" s="12"/>
      <c r="B1004" s="13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5"/>
      <c r="V1004" s="16" t="str">
        <f t="shared" si="30"/>
        <v/>
      </c>
      <c r="W1004" s="16" t="str">
        <f t="shared" si="31"/>
        <v/>
      </c>
    </row>
    <row r="1005" spans="1:23">
      <c r="A1005" s="12"/>
      <c r="B1005" s="13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5"/>
      <c r="V1005" s="16" t="str">
        <f t="shared" si="30"/>
        <v/>
      </c>
      <c r="W1005" s="16" t="str">
        <f t="shared" si="31"/>
        <v/>
      </c>
    </row>
    <row r="1006" spans="1:23">
      <c r="A1006" s="12"/>
      <c r="B1006" s="13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5"/>
      <c r="V1006" s="16" t="str">
        <f t="shared" si="30"/>
        <v/>
      </c>
      <c r="W1006" s="16" t="str">
        <f t="shared" si="31"/>
        <v/>
      </c>
    </row>
    <row r="1007" spans="1:2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1:2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</sheetData>
  <mergeCells count="5">
    <mergeCell ref="C5:G5"/>
    <mergeCell ref="H5:I5"/>
    <mergeCell ref="J5:Q5"/>
    <mergeCell ref="R5:T5"/>
    <mergeCell ref="V5:W5"/>
  </mergeCells>
  <phoneticPr fontId="15" type="noConversion"/>
  <conditionalFormatting sqref="V7:W1006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Financial Statements</vt:lpstr>
      <vt:lpstr>Transaction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思雨 雷</cp:lastModifiedBy>
  <dcterms:modified xsi:type="dcterms:W3CDTF">2026-10-16T21:33:05Z</dcterms:modified>
</cp:coreProperties>
</file>