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e58d30734c4c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nancial Statements" sheetId="1" r:id="R39e0ffbf8ac54e17"/>
    <x:sheet xmlns:r="http://schemas.openxmlformats.org/officeDocument/2006/relationships" name="Transaction Analysis" sheetId="2" r:id="Ra763f06b7a5045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;[Red](#,##0);-"/>
    <x:numFmt numFmtId="201" formatCode="$#,##0;[Red]($#,##0);-"/>
    <x:numFmt numFmtId="202" formatCode="0.00;[Red](0.00);0.00"/>
  </x:numFmts>
  <x:fonts count="10">
    <x:font>
      <x:sz val="11"/>
      <x:name val="Carlito"/>
    </x:font>
    <x:font>
      <x:sz val="10"/>
      <x:color rgb="FF202124"/>
      <x:name val="Arial"/>
    </x:font>
    <x:font>
      <x:b/>
      <x:sz val="15"/>
      <x:color rgb="FFFFFFFF"/>
      <x:name val="Arial"/>
    </x:font>
    <x:font>
      <x:i/>
      <x:sz val="10"/>
      <x:color rgb="FF202124"/>
      <x:name val="Arial"/>
    </x:font>
    <x:font>
      <x:b/>
      <x:sz val="10"/>
      <x:color rgb="FFFFFFFF"/>
      <x:name val="Arial"/>
    </x:font>
    <x:font>
      <x:sz val="10"/>
      <x:color rgb="FF2F75B5"/>
      <x:name val="Arial"/>
    </x:font>
    <x:font>
      <x:sz val="10"/>
      <x:color rgb="FF008000"/>
      <x:name val="Arial"/>
    </x:font>
    <x:font>
      <x:b/>
      <x:sz val="10"/>
      <x:color rgb="FF202124"/>
      <x:name val="Arial"/>
    </x:font>
    <x:font>
      <x:b/>
      <x:sz val="14"/>
      <x:color rgb="FFFFFFFF"/>
      <x:name val="Arial"/>
    </x:font>
    <x:font>
      <x:b/>
      <x:sz val="12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633A"/>
      </x:patternFill>
    </x:fill>
    <x:fill>
      <x:patternFill patternType="solid">
        <x:fgColor rgb="FFF3F0E6"/>
      </x:patternFill>
    </x:fill>
    <x:fill>
      <x:patternFill patternType="solid">
        <x:fgColor rgb="FF24733C"/>
      </x:patternFill>
    </x:fill>
    <x:fill>
      <x:patternFill patternType="solid">
        <x:fgColor rgb="FFEAE5D8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D9D9D9"/>
      </x:bottom>
      <x:diagonal/>
    </x:border>
    <x:border>
      <x:left/>
      <x:right/>
      <x:top style="thin">
        <x:color rgb="FFD9D9D9"/>
      </x:top>
      <x:bottom style="thin">
        <x:color rgb="FFD9D9D9"/>
      </x:bottom>
      <x:diagonal/>
    </x:border>
    <x:border>
      <x:left/>
      <x:right/>
      <x:top style="thin">
        <x:color rgb="FFD9D9D9"/>
      </x:top>
      <x:bottom/>
      <x:diagonal/>
    </x:border>
    <x:border>
      <x:left/>
      <x:right/>
      <x:top/>
      <x:bottom style="double">
        <x:color rgb="FF202124"/>
      </x:bottom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5" fillId="0" borderId="0" xfId="0" applyNumberFormat="1" applyFont="1" applyFill="1" applyBorder="1"/>
    <x:xf numFmtId="200" fontId="6" fillId="0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201" fontId="1" fillId="5" borderId="1" xfId="0" applyNumberFormat="1" applyFont="1" applyFill="1" applyBorder="1"/>
    <x:xf numFmtId="201" fontId="1" fillId="5" borderId="2" xfId="0" applyNumberFormat="1" applyFont="1" applyFill="1" applyBorder="1"/>
    <x:xf numFmtId="201" fontId="1" fillId="5" borderId="3" xfId="0" applyNumberFormat="1" applyFont="1" applyFill="1" applyBorder="1"/>
    <x:xf numFmtId="201" fontId="1" fillId="0" borderId="0" xfId="0" applyNumberFormat="1" applyFont="1" applyFill="1" applyBorder="1"/>
    <x:xf numFmtId="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horizontal="center"/>
    </x:xf>
    <x:xf numFmtId="0" fontId="9" fillId="4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horizontal="center"/>
    </x:xf>
    <x:xf numFmtId="200" fontId="1" fillId="0" borderId="0" xfId="0" applyNumberFormat="1" applyFont="1" applyFill="1" applyBorder="1"/>
    <x:xf numFmtId="200" fontId="7" fillId="0" borderId="0" xfId="0" applyNumberFormat="1" applyFont="1" applyFill="1" applyBorder="1"/>
    <x:xf numFmtId="202" fontId="1" fillId="0" borderId="0" xfId="0" applyNumberFormat="1" applyFont="1" applyFill="1" applyBorder="1"/>
    <x:xf numFmtId="0" fontId="7" fillId="0" borderId="4" xfId="0" applyNumberFormat="1" applyFont="1" applyFill="1" applyBorder="1"/>
    <x:xf numFmtId="201" fontId="7" fillId="0" borderId="4" xfId="0" applyNumberFormat="1" applyFont="1" applyFill="1" applyBorder="1"/>
    <x:xf numFmtId="200" fontId="7" fillId="0" borderId="4" xfId="0" applyNumberFormat="1" applyFont="1" applyFill="1" applyBorder="1"/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7565f8b723413d" /><Relationship Type="http://schemas.openxmlformats.org/officeDocument/2006/relationships/theme" Target="/xl/theme/theme1.xml" Id="Rb4f658aff51a410d" /><Relationship Type="http://schemas.openxmlformats.org/officeDocument/2006/relationships/sharedStrings" Target="/xl/sharedStrings.xml" Id="R5b15fa943cfa48b1" /><Relationship Type="http://schemas.openxmlformats.org/officeDocument/2006/relationships/worksheet" Target="/xl/worksheets/sheet1.xml" Id="R39e0ffbf8ac54e17" /><Relationship Type="http://schemas.openxmlformats.org/officeDocument/2006/relationships/worksheet" Target="/xl/worksheets/sheet2.xml" Id="Ra763f06b7a504517" /></Relationships>
</file>

<file path=xl/tables/table1.xml><?xml version="1.0" encoding="utf-8"?>
<x:table xmlns:x="http://schemas.openxmlformats.org/spreadsheetml/2006/main" id="1" name="TransactionAnalysisTable" displayName="TransactionAnalysisTable" ref="A6:O1006" headerRowCount="1" totalsRowCount="0" totalsRowShown="0">
  <x:tableColumns count="15">
    <x:tableColumn id="1" name="ID"/>
    <x:tableColumn id="2" name="Description"/>
    <x:tableColumn id="3" name="Cash"/>
    <x:tableColumn id="4" name="Accounts Receivable"/>
    <x:tableColumn id="5" name="Furniture"/>
    <x:tableColumn id="6" name="Equipment"/>
    <x:tableColumn id="7" name="Accounts Payable"/>
    <x:tableColumn id="8" name="Common Stock"/>
    <x:tableColumn id="9" name="Dividends"/>
    <x:tableColumn id="10" name="Revenue"/>
    <x:tableColumn id="11" name="Expense"/>
    <x:tableColumn id="12" name="Cash Flow Class"/>
    <x:tableColumn id="13" name="Cash Flow Detail"/>
    <x:tableColumn id="14" name="Cash Flow Amount"/>
    <x:tableColumn id="15" name="Noncash Disclosu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fff89ac9f6946e3" /></Relationships>
</file>

<file path=xl/worksheets/sheet1.xml><?xml version="1.0" encoding="utf-8"?>
<x:worksheet xmlns:x="http://schemas.openxmlformats.org/spreadsheetml/2006/main">
  <x:sheetPr>
    <x:tabColor rgb="FF17633A"/>
  </x:sheetPr>
  <x:sheetViews>
    <x:sheetView showGridLines="0" workbookViewId="0"/>
  </x:sheetViews>
  <x:sheetFormatPr defaultRowHeight="15"/>
  <x:cols>
    <x:col min="1" max="1" width="3" hidden="0" customWidth="1"/>
    <x:col min="2" max="2" width="5" hidden="0" customWidth="1"/>
    <x:col min="3" max="3" width="39" hidden="0" customWidth="1"/>
    <x:col min="4" max="4" width="4" hidden="0" customWidth="1"/>
    <x:col min="5" max="5" width="15" hidden="0" customWidth="1"/>
    <x:col min="6" max="6" width="4" hidden="0" customWidth="1"/>
    <x:col min="7" max="7" width="18" hidden="0" customWidth="1"/>
    <x:col min="8" max="8" width="24" hidden="0" customWidth="1"/>
    <x:col min="9" max="9" width="4" hidden="0" customWidth="1"/>
    <x:col min="10" max="10" width="1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5" customHeight="1">
      <x:c r="A2" s="1"/>
      <x:c r="B2" s="31" t="str">
        <x:v>FINANCIAL STATEMENTS</x:v>
      </x:c>
      <x:c r="C2" s="31"/>
      <x:c r="D2" s="31"/>
      <x:c r="E2" s="31"/>
      <x:c r="F2" s="31"/>
      <x:c r="G2" s="31"/>
      <x:c r="H2" s="31"/>
      <x:c r="I2" s="31"/>
      <x:c r="J2" s="3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5" customHeight="1">
      <x:c r="A3" s="1"/>
      <x:c r="B3" s="31" t="str">
        <x:v>For the period ended December 31, 2027</x:v>
      </x:c>
      <x:c r="C3" s="31"/>
      <x:c r="D3" s="31"/>
      <x:c r="E3" s="31"/>
      <x:c r="F3" s="31"/>
      <x:c r="G3" s="31"/>
      <x:c r="H3" s="31"/>
      <x:c r="I3" s="31"/>
      <x:c r="J3" s="3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4" customHeight="1">
      <x:c r="A6" s="1"/>
      <x:c r="B6" s="34" t="str">
        <x:v>Income Statement</x:v>
      </x:c>
      <x:c r="C6" s="34"/>
      <x:c r="D6" s="34"/>
      <x:c r="E6" s="34"/>
      <x:c r="F6" s="34"/>
      <x:c r="G6" s="34" t="str">
        <x:v>Statement of Retained Earnings</x:v>
      </x:c>
      <x:c r="H6" s="34"/>
      <x:c r="I6" s="34"/>
      <x:c r="J6" s="34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"/>
      <x:c r="B7" s="35" t="str">
        <x:v>For the period ended December 31, 2027</x:v>
      </x:c>
      <x:c r="C7" s="35"/>
      <x:c r="D7" s="35"/>
      <x:c r="E7" s="35"/>
      <x:c r="F7" s="35"/>
      <x:c r="G7" s="35" t="str">
        <x:v>For the period ended December 31, 2027</x:v>
      </x:c>
      <x:c r="H7" s="35"/>
      <x:c r="I7" s="35"/>
      <x:c r="J7" s="35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27" t="str">
        <x:v>Revenues</x:v>
      </x:c>
      <x:c r="C9" s="27"/>
      <x:c r="D9" s="27"/>
      <x:c r="E9" s="27"/>
      <x:c r="F9" s="27"/>
      <x:c r="G9" s="27"/>
      <x:c r="H9" s="27"/>
      <x:c r="I9" s="27"/>
      <x:c r="J9" s="27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/>
      <x:c r="B10" s="1"/>
      <x:c r="C10" s="1" t="str">
        <x:v>Service revenue</x:v>
      </x:c>
      <x:c r="D10" s="1"/>
      <x:c r="E10" s="26" t="n">
        <x:f>SUM('Transaction Analysis'!J7:J1006)</x:f>
        <x:v>1855</x:v>
      </x:c>
      <x:c r="F10" s="1"/>
      <x:c r="G10" s="1" t="str">
        <x:v>Beginning retained earnings</x:v>
      </x:c>
      <x:c r="H10" s="1"/>
      <x:c r="I10" s="1"/>
      <x:c r="J10" s="26" t="n">
        <x:v>0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1"/>
      <x:c r="D11" s="1"/>
      <x:c r="E11" s="26"/>
      <x:c r="F11" s="1"/>
      <x:c r="G11" s="1" t="str">
        <x:v>Add: Net income</x:v>
      </x:c>
      <x:c r="H11" s="1"/>
      <x:c r="I11" s="1"/>
      <x:c r="J11" s="26" t="n">
        <x:f>E15</x:f>
        <x:v>1230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27" t="str">
        <x:v>Expenses</x:v>
      </x:c>
      <x:c r="C12" s="27"/>
      <x:c r="D12" s="27"/>
      <x:c r="E12" s="28"/>
      <x:c r="F12" s="27"/>
      <x:c r="G12" s="27" t="str">
        <x:v>Less: Dividends</x:v>
      </x:c>
      <x:c r="H12" s="27"/>
      <x:c r="I12" s="27"/>
      <x:c r="J12" s="28" t="n">
        <x:f>SUM('Transaction Analysis'!I7:I1006)</x:f>
        <x:v>900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" t="str">
        <x:v>Operating expenses</x:v>
      </x:c>
      <x:c r="D13" s="1"/>
      <x:c r="E13" s="26" t="n">
        <x:f>SUM('Transaction Analysis'!K7:K1006)</x:f>
        <x:v>625</x:v>
      </x:c>
      <x:c r="F13" s="1"/>
      <x:c r="G13" s="1"/>
      <x:c r="H13" s="1"/>
      <x:c r="I13" s="1"/>
      <x:c r="J13" s="26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39"/>
      <x:c r="D14" s="39"/>
      <x:c r="E14" s="40"/>
      <x:c r="F14" s="39"/>
      <x:c r="G14" s="39" t="str">
        <x:v>Ending retained earnings</x:v>
      </x:c>
      <x:c r="H14" s="39"/>
      <x:c r="I14" s="39"/>
      <x:c r="J14" s="40" t="n">
        <x:f>J10+J11-J12</x:f>
        <x:v>330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39" t="str">
        <x:v>Net income</x:v>
      </x:c>
      <x:c r="D15" s="39"/>
      <x:c r="E15" s="40" t="n">
        <x:f>E10-E13</x:f>
        <x:v>1230</x:v>
      </x:c>
      <x:c r="F15" s="39"/>
      <x:c r="G15" s="39"/>
      <x:c r="H15" s="39"/>
      <x:c r="I15" s="39"/>
      <x:c r="J15" s="39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24" customHeight="1">
      <x:c r="A19" s="1"/>
      <x:c r="B19" s="34" t="str">
        <x:v>Balance Sheet</x:v>
      </x:c>
      <x:c r="C19" s="34"/>
      <x:c r="D19" s="34"/>
      <x:c r="E19" s="34"/>
      <x:c r="F19" s="34"/>
      <x:c r="G19" s="34"/>
      <x:c r="H19" s="34"/>
      <x:c r="I19" s="34"/>
      <x:c r="J19" s="34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35" t="str">
        <x:v>December 31, 2027</x:v>
      </x:c>
      <x:c r="C20" s="35"/>
      <x:c r="D20" s="35"/>
      <x:c r="E20" s="35"/>
      <x:c r="F20" s="35"/>
      <x:c r="G20" s="35"/>
      <x:c r="H20" s="35"/>
      <x:c r="I20" s="35"/>
      <x:c r="J20" s="35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27" t="str">
        <x:v>Assets</x:v>
      </x:c>
      <x:c r="C22" s="27"/>
      <x:c r="D22" s="27"/>
      <x:c r="E22" s="27"/>
      <x:c r="F22" s="27"/>
      <x:c r="G22" s="27" t="str">
        <x:v>Liabilities and Equity</x:v>
      </x:c>
      <x:c r="H22" s="27"/>
      <x:c r="I22" s="27"/>
      <x:c r="J22" s="27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 t="str">
        <x:v>Cash</x:v>
      </x:c>
      <x:c r="D23" s="1"/>
      <x:c r="E23" s="26" t="n">
        <x:f>SUM('Transaction Analysis'!C7:C1006)</x:f>
        <x:v>2330</x:v>
      </x:c>
      <x:c r="F23" s="1"/>
      <x:c r="G23" s="1"/>
      <x:c r="H23" s="1" t="str">
        <x:v>Accounts payable</x:v>
      </x:c>
      <x:c r="I23" s="1"/>
      <x:c r="J23" s="26" t="n">
        <x:f>SUM('Transaction Analysis'!G7:G1006)</x:f>
        <x:v>800</x:v>
      </x:c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 t="str">
        <x:v>Accounts receivable</x:v>
      </x:c>
      <x:c r="D24" s="1"/>
      <x:c r="E24" s="26" t="n">
        <x:f>SUM('Transaction Analysis'!D7:D1006)</x:f>
        <x:v>0</x:v>
      </x:c>
      <x:c r="F24" s="1"/>
      <x:c r="G24" s="1"/>
      <x:c r="H24" s="1"/>
      <x:c r="I24" s="1"/>
      <x:c r="J24" s="26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 t="str">
        <x:v>Furniture</x:v>
      </x:c>
      <x:c r="D25" s="1"/>
      <x:c r="E25" s="26" t="n">
        <x:f>SUM('Transaction Analysis'!E7:E1006)</x:f>
        <x:v>600</x:v>
      </x:c>
      <x:c r="F25" s="1"/>
      <x:c r="G25" s="1"/>
      <x:c r="H25" s="1" t="str">
        <x:v>Common stock</x:v>
      </x:c>
      <x:c r="I25" s="1"/>
      <x:c r="J25" s="26" t="n">
        <x:f>SUM('Transaction Analysis'!H7:H1006)</x:f>
        <x:v>18000</x:v>
      </x:c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 t="str">
        <x:v>Equipment</x:v>
      </x:c>
      <x:c r="D26" s="1"/>
      <x:c r="E26" s="26" t="n">
        <x:f>SUM('Transaction Analysis'!F7:F1006)</x:f>
        <x:v>16200</x:v>
      </x:c>
      <x:c r="F26" s="1"/>
      <x:c r="G26" s="1"/>
      <x:c r="H26" s="1" t="str">
        <x:v>Retained earnings</x:v>
      </x:c>
      <x:c r="I26" s="1"/>
      <x:c r="J26" s="26" t="n">
        <x:f>J14</x:f>
        <x:v>330</x:v>
      </x:c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26"/>
      <x:c r="F27" s="1"/>
      <x:c r="G27" s="1"/>
      <x:c r="H27" s="1"/>
      <x:c r="I27" s="1"/>
      <x:c r="J27" s="26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39" t="str">
        <x:v>Total assets</x:v>
      </x:c>
      <x:c r="D28" s="39"/>
      <x:c r="E28" s="40" t="n">
        <x:f>SUM(E23:E26)</x:f>
        <x:v>19130</x:v>
      </x:c>
      <x:c r="F28" s="39"/>
      <x:c r="G28" s="39"/>
      <x:c r="H28" s="39" t="str">
        <x:v>Total liabilities and equity</x:v>
      </x:c>
      <x:c r="I28" s="39"/>
      <x:c r="J28" s="40" t="n">
        <x:f>J23+J25+J26</x:f>
        <x:v>19130</x:v>
      </x:c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24" customHeight="1">
      <x:c r="A32" s="1"/>
      <x:c r="B32" s="34" t="str">
        <x:v>Statement of Cash Flows</x:v>
      </x:c>
      <x:c r="C32" s="34"/>
      <x:c r="D32" s="34"/>
      <x:c r="E32" s="34"/>
      <x:c r="F32" s="34"/>
      <x:c r="G32" s="34"/>
      <x:c r="H32" s="34"/>
      <x:c r="I32" s="34"/>
      <x:c r="J32" s="34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35" t="str">
        <x:v>For the period ended December 31, 2027</x:v>
      </x:c>
      <x:c r="C33" s="35"/>
      <x:c r="D33" s="35"/>
      <x:c r="E33" s="35"/>
      <x:c r="F33" s="35"/>
      <x:c r="G33" s="35"/>
      <x:c r="H33" s="35"/>
      <x:c r="I33" s="35"/>
      <x:c r="J33" s="35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27" t="str">
        <x:v>Cash flows from operating activities</x:v>
      </x:c>
      <x:c r="C35" s="27"/>
      <x:c r="D35" s="27"/>
      <x:c r="E35" s="27"/>
      <x:c r="F35" s="27"/>
      <x:c r="G35" s="27"/>
      <x:c r="H35" s="27"/>
      <x:c r="I35" s="27"/>
      <x:c r="J35" s="27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 t="str">
        <x:v>Cash received from clients</x:v>
      </x:c>
      <x:c r="D36" s="1"/>
      <x:c r="E36" s="1"/>
      <x:c r="F36" s="1"/>
      <x:c r="G36" s="1"/>
      <x:c r="H36" s="36" t="n">
        <x:f>SUMIFS('Transaction Analysis'!N7:N1006,'Transaction Analysis'!M7:M1006,C36)</x:f>
        <x:v>1855</x:v>
      </x:c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 t="str">
        <x:v>Cash paid for expenses</x:v>
      </x:c>
      <x:c r="D37" s="1"/>
      <x:c r="E37" s="1"/>
      <x:c r="F37" s="1"/>
      <x:c r="G37" s="1"/>
      <x:c r="H37" s="36" t="n">
        <x:f>SUMIFS('Transaction Analysis'!N7:N1006,'Transaction Analysis'!M7:M1006,C37)</x:f>
        <x:v>-625</x:v>
      </x:c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 t="str">
        <x:v>Other operating cash flows</x:v>
      </x:c>
      <x:c r="D38" s="1"/>
      <x:c r="E38" s="1"/>
      <x:c r="F38" s="1"/>
      <x:c r="G38" s="1"/>
      <x:c r="H38" s="36" t="n">
        <x:f>SUMIFS('Transaction Analysis'!N7:N1006,'Transaction Analysis'!L7:L1006,"Operating")-SUM(H36:H37)</x:f>
        <x:v>0</x:v>
      </x:c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39" t="str">
        <x:v>Net cash provided by operating activities</x:v>
      </x:c>
      <x:c r="D39" s="39"/>
      <x:c r="E39" s="39"/>
      <x:c r="F39" s="39"/>
      <x:c r="G39" s="39"/>
      <x:c r="H39" s="41"/>
      <x:c r="I39" s="39"/>
      <x:c r="J39" s="40" t="n">
        <x:f>SUMIFS('Transaction Analysis'!N7:N1006,'Transaction Analysis'!L7:L1006,"Operating")</x:f>
        <x:v>1230</x:v>
      </x:c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36"/>
      <x:c r="I40" s="1"/>
      <x:c r="J40" s="26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27" t="str">
        <x:v>Cash flows from investing activities</x:v>
      </x:c>
      <x:c r="C41" s="27"/>
      <x:c r="D41" s="27"/>
      <x:c r="E41" s="27"/>
      <x:c r="F41" s="27"/>
      <x:c r="G41" s="27"/>
      <x:c r="H41" s="37"/>
      <x:c r="I41" s="27"/>
      <x:c r="J41" s="28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 t="str">
        <x:v>Cash paid for furniture</x:v>
      </x:c>
      <x:c r="D42" s="1"/>
      <x:c r="E42" s="1"/>
      <x:c r="F42" s="1"/>
      <x:c r="G42" s="1"/>
      <x:c r="H42" s="36" t="n">
        <x:f>SUMIFS('Transaction Analysis'!N7:N1006,'Transaction Analysis'!M7:M1006,C42)</x:f>
        <x:v>-600</x:v>
      </x:c>
      <x:c r="I42" s="1"/>
      <x:c r="J42" s="26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 t="str">
        <x:v>Cash paid on equipment payable</x:v>
      </x:c>
      <x:c r="D43" s="1"/>
      <x:c r="E43" s="1"/>
      <x:c r="F43" s="1"/>
      <x:c r="G43" s="1"/>
      <x:c r="H43" s="36" t="n">
        <x:f>SUMIFS('Transaction Analysis'!N7:N1006,'Transaction Analysis'!M7:M1006,C43)</x:f>
        <x:v>-400</x:v>
      </x:c>
      <x:c r="I43" s="1"/>
      <x:c r="J43" s="26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 t="str">
        <x:v>Other investing cash flows</x:v>
      </x:c>
      <x:c r="D44" s="1"/>
      <x:c r="E44" s="1"/>
      <x:c r="F44" s="1"/>
      <x:c r="G44" s="1"/>
      <x:c r="H44" s="36" t="n">
        <x:f>SUMIFS('Transaction Analysis'!N7:N1006,'Transaction Analysis'!L7:L1006,"Investing")-SUM(H42:H43)</x:f>
        <x:v>0</x:v>
      </x:c>
      <x:c r="I44" s="1"/>
      <x:c r="J44" s="26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39" t="str">
        <x:v>Net cash used by investing activities</x:v>
      </x:c>
      <x:c r="D45" s="39"/>
      <x:c r="E45" s="39"/>
      <x:c r="F45" s="39"/>
      <x:c r="G45" s="39"/>
      <x:c r="H45" s="41"/>
      <x:c r="I45" s="39"/>
      <x:c r="J45" s="40" t="n">
        <x:f>SUMIFS('Transaction Analysis'!N7:N1006,'Transaction Analysis'!L7:L1006,"Investing")</x:f>
        <x:v>-1000</x:v>
      </x:c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36"/>
      <x:c r="I46" s="1"/>
      <x:c r="J46" s="26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27" t="str">
        <x:v>Cash flows from financing activities</x:v>
      </x:c>
      <x:c r="C47" s="27"/>
      <x:c r="D47" s="27"/>
      <x:c r="E47" s="27"/>
      <x:c r="F47" s="27"/>
      <x:c r="G47" s="27"/>
      <x:c r="H47" s="37"/>
      <x:c r="I47" s="27"/>
      <x:c r="J47" s="28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 t="str">
        <x:v>Cash investments from shareholders</x:v>
      </x:c>
      <x:c r="D48" s="1"/>
      <x:c r="E48" s="1"/>
      <x:c r="F48" s="1"/>
      <x:c r="G48" s="1"/>
      <x:c r="H48" s="36" t="n">
        <x:f>SUMIFS('Transaction Analysis'!N7:N1006,'Transaction Analysis'!M7:M1006,C48)</x:f>
        <x:v>3000</x:v>
      </x:c>
      <x:c r="I48" s="1"/>
      <x:c r="J48" s="26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 t="str">
        <x:v>Cash dividends to shareholders</x:v>
      </x:c>
      <x:c r="D49" s="1"/>
      <x:c r="E49" s="1"/>
      <x:c r="F49" s="1"/>
      <x:c r="G49" s="1"/>
      <x:c r="H49" s="36" t="n">
        <x:f>SUMIFS('Transaction Analysis'!N7:N1006,'Transaction Analysis'!M7:M1006,C49)</x:f>
        <x:v>-900</x:v>
      </x:c>
      <x:c r="I49" s="1"/>
      <x:c r="J49" s="26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 t="str">
        <x:v>Other financing cash flows</x:v>
      </x:c>
      <x:c r="D50" s="1"/>
      <x:c r="E50" s="1"/>
      <x:c r="F50" s="1"/>
      <x:c r="G50" s="1"/>
      <x:c r="H50" s="1" t="n">
        <x:f>SUMIFS('Transaction Analysis'!N7:N1006,'Transaction Analysis'!L7:L1006,"Financing")-SUM(H48:H49)</x:f>
        <x:v>0</x:v>
      </x:c>
      <x:c r="I50" s="1"/>
      <x:c r="J50" s="26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39" t="str">
        <x:v>Net cash provided by financing activities</x:v>
      </x:c>
      <x:c r="D51" s="39"/>
      <x:c r="E51" s="39"/>
      <x:c r="F51" s="39"/>
      <x:c r="G51" s="39"/>
      <x:c r="H51" s="39"/>
      <x:c r="I51" s="39"/>
      <x:c r="J51" s="40" t="n">
        <x:f>SUMIFS('Transaction Analysis'!N7:N1006,'Transaction Analysis'!L7:L1006,"Financing")</x:f>
        <x:v>2100</x:v>
      </x:c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26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 t="str">
        <x:v>Net increase in cash</x:v>
      </x:c>
      <x:c r="D53" s="1"/>
      <x:c r="E53" s="1"/>
      <x:c r="F53" s="1"/>
      <x:c r="G53" s="1"/>
      <x:c r="H53" s="1"/>
      <x:c r="I53" s="1"/>
      <x:c r="J53" s="26" t="n">
        <x:f>J39+J45+J51</x:f>
        <x:v>2330</x:v>
      </x:c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 t="str">
        <x:v>Beginning cash balance</x:v>
      </x:c>
      <x:c r="D54" s="1"/>
      <x:c r="E54" s="1"/>
      <x:c r="F54" s="1"/>
      <x:c r="G54" s="1"/>
      <x:c r="H54" s="1"/>
      <x:c r="I54" s="1"/>
      <x:c r="J54" s="26" t="n">
        <x:v>0</x:v>
      </x:c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39" t="str">
        <x:v>Ending cash balance</x:v>
      </x:c>
      <x:c r="D55" s="39"/>
      <x:c r="E55" s="39"/>
      <x:c r="F55" s="39"/>
      <x:c r="G55" s="39"/>
      <x:c r="H55" s="39"/>
      <x:c r="I55" s="39"/>
      <x:c r="J55" s="40" t="n">
        <x:f>J53+J54</x:f>
        <x:v>2330</x:v>
      </x:c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26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27" t="str">
        <x:v>Noncash investing and financing activities</x:v>
      </x:c>
      <x:c r="C57" s="27"/>
      <x:c r="D57" s="27"/>
      <x:c r="E57" s="27"/>
      <x:c r="F57" s="27"/>
      <x:c r="G57" s="27"/>
      <x:c r="H57" s="27"/>
      <x:c r="I57" s="27"/>
      <x:c r="J57" s="28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 t="str">
        <x:v>Equipment acquired by issuing common stock</x:v>
      </x:c>
      <x:c r="D58" s="1"/>
      <x:c r="E58" s="1"/>
      <x:c r="F58" s="1"/>
      <x:c r="G58" s="1"/>
      <x:c r="H58" s="1"/>
      <x:c r="I58" s="1"/>
      <x:c r="J58" s="26" t="n">
        <x:f>SUMIFS('Transaction Analysis'!F7:F1006,'Transaction Analysis'!M7:M1006,C58)</x:f>
        <x:v>15000</x:v>
      </x:c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 t="str">
        <x:v>Equipment acquired on account</x:v>
      </x:c>
      <x:c r="D59" s="1"/>
      <x:c r="E59" s="1"/>
      <x:c r="F59" s="1"/>
      <x:c r="G59" s="1"/>
      <x:c r="H59" s="1"/>
      <x:c r="I59" s="1"/>
      <x:c r="J59" s="26" t="n">
        <x:f>SUMIFS('Transaction Analysis'!F7:F1006,'Transaction Analysis'!M7:M1006,C59)</x:f>
        <x:v>1200</x:v>
      </x:c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24" customHeight="1">
      <x:c r="A62" s="1"/>
      <x:c r="B62" s="34" t="str">
        <x:v>Reconciliation Checks</x:v>
      </x:c>
      <x:c r="C62" s="34"/>
      <x:c r="D62" s="34"/>
      <x:c r="E62" s="34"/>
      <x:c r="F62" s="34"/>
      <x:c r="G62" s="34"/>
      <x:c r="H62" s="34"/>
      <x:c r="I62" s="34"/>
      <x:c r="J62" s="34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 t="str">
        <x:v>Net income to retained earnings</x:v>
      </x:c>
      <x:c r="D63" s="1"/>
      <x:c r="E63" s="1"/>
      <x:c r="F63" s="1"/>
      <x:c r="G63" s="1"/>
      <x:c r="H63" s="1"/>
      <x:c r="I63" s="1"/>
      <x:c r="J63" s="38" t="n">
        <x:f>E15-J11</x:f>
        <x:v>0</x:v>
      </x:c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 t="str">
        <x:v>Ending retained earnings to balance sheet</x:v>
      </x:c>
      <x:c r="D64" s="1"/>
      <x:c r="E64" s="1"/>
      <x:c r="F64" s="1"/>
      <x:c r="G64" s="1"/>
      <x:c r="H64" s="1"/>
      <x:c r="I64" s="1"/>
      <x:c r="J64" s="38" t="n">
        <x:f>J14-J26</x:f>
        <x:v>0</x:v>
      </x:c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 t="str">
        <x:v>Ending cash to balance sheet</x:v>
      </x:c>
      <x:c r="D65" s="1"/>
      <x:c r="E65" s="1"/>
      <x:c r="F65" s="1"/>
      <x:c r="G65" s="1"/>
      <x:c r="H65" s="1"/>
      <x:c r="I65" s="1"/>
      <x:c r="J65" s="38" t="n">
        <x:f>J55-E23</x:f>
        <x:v>0</x:v>
      </x:c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 t="str">
        <x:v>Balance sheet equation</x:v>
      </x:c>
      <x:c r="D66" s="1"/>
      <x:c r="E66" s="1"/>
      <x:c r="F66" s="1"/>
      <x:c r="G66" s="1"/>
      <x:c r="H66" s="1"/>
      <x:c r="I66" s="1"/>
      <x:c r="J66" s="38" t="n">
        <x:f>E28-J28</x:f>
        <x:v>0</x:v>
      </x:c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  <x:row r="1001">
      <x:c r="A1001" s="1"/>
      <x:c r="B1001" s="1"/>
      <x:c r="C1001" s="1"/>
      <x:c r="D1001" s="1"/>
      <x:c r="E1001" s="1"/>
      <x:c r="F1001" s="1"/>
      <x:c r="G1001" s="1"/>
      <x:c r="H1001" s="1"/>
      <x:c r="I1001" s="1"/>
      <x:c r="J1001" s="1"/>
      <x:c r="K1001" s="1"/>
      <x:c r="L1001" s="1"/>
      <x:c r="M1001" s="1"/>
      <x:c r="N1001" s="1"/>
      <x:c r="O1001" s="1"/>
      <x:c r="P1001" s="1"/>
      <x:c r="Q1001" s="1"/>
      <x:c r="R1001" s="1"/>
      <x:c r="S1001" s="1"/>
      <x:c r="T1001" s="1"/>
      <x:c r="U1001" s="1"/>
      <x:c r="V1001" s="1"/>
      <x:c r="W1001" s="1"/>
      <x:c r="X1001" s="1"/>
      <x:c r="Y1001" s="1"/>
      <x:c r="Z1001" s="1"/>
    </x:row>
    <x:row r="1002">
      <x:c r="A1002" s="1"/>
      <x:c r="B1002" s="1"/>
      <x:c r="C1002" s="1"/>
      <x:c r="D1002" s="1"/>
      <x:c r="E1002" s="1"/>
      <x:c r="F1002" s="1"/>
      <x:c r="G1002" s="1"/>
      <x:c r="H1002" s="1"/>
      <x:c r="I1002" s="1"/>
      <x:c r="J1002" s="1"/>
      <x:c r="K1002" s="1"/>
      <x:c r="L1002" s="1"/>
      <x:c r="M1002" s="1"/>
      <x:c r="N1002" s="1"/>
      <x:c r="O1002" s="1"/>
      <x:c r="P1002" s="1"/>
      <x:c r="Q1002" s="1"/>
      <x:c r="R1002" s="1"/>
      <x:c r="S1002" s="1"/>
      <x:c r="T1002" s="1"/>
      <x:c r="U1002" s="1"/>
      <x:c r="V1002" s="1"/>
      <x:c r="W1002" s="1"/>
      <x:c r="X1002" s="1"/>
      <x:c r="Y1002" s="1"/>
      <x:c r="Z1002" s="1"/>
    </x:row>
    <x:row r="1003">
      <x:c r="A1003" s="1"/>
      <x:c r="B1003" s="1"/>
      <x:c r="C1003" s="1"/>
      <x:c r="D1003" s="1"/>
      <x:c r="E1003" s="1"/>
      <x:c r="F1003" s="1"/>
      <x:c r="G1003" s="1"/>
      <x:c r="H1003" s="1"/>
      <x:c r="I1003" s="1"/>
      <x:c r="J1003" s="1"/>
      <x:c r="K1003" s="1"/>
      <x:c r="L1003" s="1"/>
      <x:c r="M1003" s="1"/>
      <x:c r="N1003" s="1"/>
      <x:c r="O1003" s="1"/>
      <x:c r="P1003" s="1"/>
      <x:c r="Q1003" s="1"/>
      <x:c r="R1003" s="1"/>
      <x:c r="S1003" s="1"/>
      <x:c r="T1003" s="1"/>
      <x:c r="U1003" s="1"/>
      <x:c r="V1003" s="1"/>
      <x:c r="W1003" s="1"/>
      <x:c r="X1003" s="1"/>
      <x:c r="Y1003" s="1"/>
      <x:c r="Z1003" s="1"/>
    </x:row>
    <x:row r="1004">
      <x:c r="A1004" s="1"/>
      <x:c r="B1004" s="1"/>
      <x:c r="C1004" s="1"/>
      <x:c r="D1004" s="1"/>
      <x:c r="E1004" s="1"/>
      <x:c r="F1004" s="1"/>
      <x:c r="G1004" s="1"/>
      <x:c r="H1004" s="1"/>
      <x:c r="I1004" s="1"/>
      <x:c r="J1004" s="1"/>
      <x:c r="K1004" s="1"/>
      <x:c r="L1004" s="1"/>
      <x:c r="M1004" s="1"/>
      <x:c r="N1004" s="1"/>
      <x:c r="O1004" s="1"/>
      <x:c r="P1004" s="1"/>
      <x:c r="Q1004" s="1"/>
      <x:c r="R1004" s="1"/>
      <x:c r="S1004" s="1"/>
      <x:c r="T1004" s="1"/>
      <x:c r="U1004" s="1"/>
      <x:c r="V1004" s="1"/>
      <x:c r="W1004" s="1"/>
      <x:c r="X1004" s="1"/>
      <x:c r="Y1004" s="1"/>
      <x:c r="Z1004" s="1"/>
    </x:row>
    <x:row r="1005">
      <x:c r="A1005" s="1"/>
      <x:c r="B1005" s="1"/>
      <x:c r="C1005" s="1"/>
      <x:c r="D1005" s="1"/>
      <x:c r="E1005" s="1"/>
      <x:c r="F1005" s="1"/>
      <x:c r="G1005" s="1"/>
      <x:c r="H1005" s="1"/>
      <x:c r="I1005" s="1"/>
      <x:c r="J1005" s="1"/>
      <x:c r="K1005" s="1"/>
      <x:c r="L1005" s="1"/>
      <x:c r="M1005" s="1"/>
      <x:c r="N1005" s="1"/>
      <x:c r="O1005" s="1"/>
      <x:c r="P1005" s="1"/>
      <x:c r="Q1005" s="1"/>
      <x:c r="R1005" s="1"/>
      <x:c r="S1005" s="1"/>
      <x:c r="T1005" s="1"/>
      <x:c r="U1005" s="1"/>
      <x:c r="V1005" s="1"/>
      <x:c r="W1005" s="1"/>
      <x:c r="X1005" s="1"/>
      <x:c r="Y1005" s="1"/>
      <x:c r="Z1005" s="1"/>
    </x:row>
    <x:row r="1006">
      <x:c r="A1006" s="1"/>
      <x:c r="B1006" s="1"/>
      <x:c r="C1006" s="1"/>
      <x:c r="D1006" s="1"/>
      <x:c r="E1006" s="1"/>
      <x:c r="F1006" s="1"/>
      <x:c r="G1006" s="1"/>
      <x:c r="H1006" s="1"/>
      <x:c r="I1006" s="1"/>
      <x:c r="J1006" s="1"/>
      <x:c r="K1006" s="1"/>
      <x:c r="L1006" s="1"/>
      <x:c r="M1006" s="1"/>
      <x:c r="N1006" s="1"/>
      <x:c r="O1006" s="1"/>
      <x:c r="P1006" s="1"/>
      <x:c r="Q1006" s="1"/>
      <x:c r="R1006" s="1"/>
      <x:c r="S1006" s="1"/>
      <x:c r="T1006" s="1"/>
      <x:c r="U1006" s="1"/>
      <x:c r="V1006" s="1"/>
      <x:c r="W1006" s="1"/>
      <x:c r="X1006" s="1"/>
      <x:c r="Y1006" s="1"/>
      <x:c r="Z1006" s="1"/>
    </x:row>
    <x:row r="1007">
      <x:c r="A1007" s="1"/>
      <x:c r="B1007" s="1"/>
      <x:c r="C1007" s="1"/>
      <x:c r="D1007" s="1"/>
      <x:c r="E1007" s="1"/>
      <x:c r="F1007" s="1"/>
      <x:c r="G1007" s="1"/>
      <x:c r="H1007" s="1"/>
      <x:c r="I1007" s="1"/>
      <x:c r="J1007" s="1"/>
      <x:c r="K1007" s="1"/>
      <x:c r="L1007" s="1"/>
      <x:c r="M1007" s="1"/>
      <x:c r="N1007" s="1"/>
      <x:c r="O1007" s="1"/>
      <x:c r="P1007" s="1"/>
      <x:c r="Q1007" s="1"/>
      <x:c r="R1007" s="1"/>
      <x:c r="S1007" s="1"/>
      <x:c r="T1007" s="1"/>
      <x:c r="U1007" s="1"/>
      <x:c r="V1007" s="1"/>
      <x:c r="W1007" s="1"/>
      <x:c r="X1007" s="1"/>
      <x:c r="Y1007" s="1"/>
      <x:c r="Z1007" s="1"/>
    </x:row>
    <x:row r="1008">
      <x:c r="A1008" s="1"/>
      <x:c r="B1008" s="1"/>
      <x:c r="C1008" s="1"/>
      <x:c r="D1008" s="1"/>
      <x:c r="E1008" s="1"/>
      <x:c r="F1008" s="1"/>
      <x:c r="G1008" s="1"/>
      <x:c r="H1008" s="1"/>
      <x:c r="I1008" s="1"/>
      <x:c r="J1008" s="1"/>
      <x:c r="K1008" s="1"/>
      <x:c r="L1008" s="1"/>
      <x:c r="M1008" s="1"/>
      <x:c r="N1008" s="1"/>
      <x:c r="O1008" s="1"/>
      <x:c r="P1008" s="1"/>
      <x:c r="Q1008" s="1"/>
      <x:c r="R1008" s="1"/>
      <x:c r="S1008" s="1"/>
      <x:c r="T1008" s="1"/>
      <x:c r="U1008" s="1"/>
      <x:c r="V1008" s="1"/>
      <x:c r="W1008" s="1"/>
      <x:c r="X1008" s="1"/>
      <x:c r="Y1008" s="1"/>
      <x:c r="Z1008" s="1"/>
    </x:row>
    <x:row r="1009">
      <x:c r="A1009" s="1"/>
      <x:c r="B1009" s="1"/>
      <x:c r="C1009" s="1"/>
      <x:c r="D1009" s="1"/>
      <x:c r="E1009" s="1"/>
      <x:c r="F1009" s="1"/>
      <x:c r="G1009" s="1"/>
      <x:c r="H1009" s="1"/>
      <x:c r="I1009" s="1"/>
      <x:c r="J1009" s="1"/>
      <x:c r="K1009" s="1"/>
      <x:c r="L1009" s="1"/>
      <x:c r="M1009" s="1"/>
      <x:c r="N1009" s="1"/>
      <x:c r="O1009" s="1"/>
      <x:c r="P1009" s="1"/>
      <x:c r="Q1009" s="1"/>
      <x:c r="R1009" s="1"/>
      <x:c r="S1009" s="1"/>
      <x:c r="T1009" s="1"/>
      <x:c r="U1009" s="1"/>
      <x:c r="V1009" s="1"/>
      <x:c r="W1009" s="1"/>
      <x:c r="X1009" s="1"/>
      <x:c r="Y1009" s="1"/>
      <x:c r="Z1009" s="1"/>
    </x:row>
    <x:row r="1010">
      <x:c r="A1010" s="1"/>
      <x:c r="B1010" s="1"/>
      <x:c r="C1010" s="1"/>
      <x:c r="D1010" s="1"/>
      <x:c r="E1010" s="1"/>
      <x:c r="F1010" s="1"/>
      <x:c r="G1010" s="1"/>
      <x:c r="H1010" s="1"/>
      <x:c r="I1010" s="1"/>
      <x:c r="J1010" s="1"/>
      <x:c r="K1010" s="1"/>
      <x:c r="L1010" s="1"/>
      <x:c r="M1010" s="1"/>
      <x:c r="N1010" s="1"/>
      <x:c r="O1010" s="1"/>
      <x:c r="P1010" s="1"/>
      <x:c r="Q1010" s="1"/>
      <x:c r="R1010" s="1"/>
      <x:c r="S1010" s="1"/>
      <x:c r="T1010" s="1"/>
      <x:c r="U1010" s="1"/>
      <x:c r="V1010" s="1"/>
      <x:c r="W1010" s="1"/>
      <x:c r="X1010" s="1"/>
      <x:c r="Y1010" s="1"/>
      <x:c r="Z1010" s="1"/>
    </x:row>
    <x:row r="1011">
      <x:c r="A1011" s="1"/>
      <x:c r="B1011" s="1"/>
      <x:c r="C1011" s="1"/>
      <x:c r="D1011" s="1"/>
      <x:c r="E1011" s="1"/>
      <x:c r="F1011" s="1"/>
      <x:c r="G1011" s="1"/>
      <x:c r="H1011" s="1"/>
      <x:c r="I1011" s="1"/>
      <x:c r="J1011" s="1"/>
      <x:c r="K1011" s="1"/>
      <x:c r="L1011" s="1"/>
      <x:c r="M1011" s="1"/>
      <x:c r="N1011" s="1"/>
      <x:c r="O1011" s="1"/>
      <x:c r="P1011" s="1"/>
      <x:c r="Q1011" s="1"/>
      <x:c r="R1011" s="1"/>
      <x:c r="S1011" s="1"/>
      <x:c r="T1011" s="1"/>
      <x:c r="U1011" s="1"/>
      <x:c r="V1011" s="1"/>
      <x:c r="W1011" s="1"/>
      <x:c r="X1011" s="1"/>
      <x:c r="Y1011" s="1"/>
      <x:c r="Z1011" s="1"/>
    </x:row>
    <x:row r="1012">
      <x:c r="A1012" s="1"/>
      <x:c r="B1012" s="1"/>
      <x:c r="C1012" s="1"/>
      <x:c r="D1012" s="1"/>
      <x:c r="E1012" s="1"/>
      <x:c r="F1012" s="1"/>
      <x:c r="G1012" s="1"/>
      <x:c r="H1012" s="1"/>
      <x:c r="I1012" s="1"/>
      <x:c r="J1012" s="1"/>
      <x:c r="K1012" s="1"/>
      <x:c r="L1012" s="1"/>
      <x:c r="M1012" s="1"/>
      <x:c r="N1012" s="1"/>
      <x:c r="O1012" s="1"/>
      <x:c r="P1012" s="1"/>
      <x:c r="Q1012" s="1"/>
      <x:c r="R1012" s="1"/>
      <x:c r="S1012" s="1"/>
      <x:c r="T1012" s="1"/>
      <x:c r="U1012" s="1"/>
      <x:c r="V1012" s="1"/>
      <x:c r="W1012" s="1"/>
      <x:c r="X1012" s="1"/>
      <x:c r="Y1012" s="1"/>
      <x:c r="Z1012" s="1"/>
    </x:row>
    <x:row r="1013">
      <x:c r="A1013" s="1"/>
      <x:c r="B1013" s="1"/>
      <x:c r="C1013" s="1"/>
      <x:c r="D1013" s="1"/>
      <x:c r="E1013" s="1"/>
      <x:c r="F1013" s="1"/>
      <x:c r="G1013" s="1"/>
      <x:c r="H1013" s="1"/>
      <x:c r="I1013" s="1"/>
      <x:c r="J1013" s="1"/>
      <x:c r="K1013" s="1"/>
      <x:c r="L1013" s="1"/>
      <x:c r="M1013" s="1"/>
      <x:c r="N1013" s="1"/>
      <x:c r="O1013" s="1"/>
      <x:c r="P1013" s="1"/>
      <x:c r="Q1013" s="1"/>
      <x:c r="R1013" s="1"/>
      <x:c r="S1013" s="1"/>
      <x:c r="T1013" s="1"/>
      <x:c r="U1013" s="1"/>
      <x:c r="V1013" s="1"/>
      <x:c r="W1013" s="1"/>
      <x:c r="X1013" s="1"/>
      <x:c r="Y1013" s="1"/>
      <x:c r="Z1013" s="1"/>
    </x:row>
    <x:row r="1014">
      <x:c r="A1014" s="1"/>
      <x:c r="B1014" s="1"/>
      <x:c r="C1014" s="1"/>
      <x:c r="D1014" s="1"/>
      <x:c r="E1014" s="1"/>
      <x:c r="F1014" s="1"/>
      <x:c r="G1014" s="1"/>
      <x:c r="H1014" s="1"/>
      <x:c r="I1014" s="1"/>
      <x:c r="J1014" s="1"/>
      <x:c r="K1014" s="1"/>
      <x:c r="L1014" s="1"/>
      <x:c r="M1014" s="1"/>
      <x:c r="N1014" s="1"/>
      <x:c r="O1014" s="1"/>
      <x:c r="P1014" s="1"/>
      <x:c r="Q1014" s="1"/>
      <x:c r="R1014" s="1"/>
      <x:c r="S1014" s="1"/>
      <x:c r="T1014" s="1"/>
      <x:c r="U1014" s="1"/>
      <x:c r="V1014" s="1"/>
      <x:c r="W1014" s="1"/>
      <x:c r="X1014" s="1"/>
      <x:c r="Y1014" s="1"/>
      <x:c r="Z1014" s="1"/>
    </x:row>
    <x:row r="1015">
      <x:c r="A1015" s="1"/>
      <x:c r="B1015" s="1"/>
      <x:c r="C1015" s="1"/>
      <x:c r="D1015" s="1"/>
      <x:c r="E1015" s="1"/>
      <x:c r="F1015" s="1"/>
      <x:c r="G1015" s="1"/>
      <x:c r="H1015" s="1"/>
      <x:c r="I1015" s="1"/>
      <x:c r="J1015" s="1"/>
      <x:c r="K1015" s="1"/>
      <x:c r="L1015" s="1"/>
      <x:c r="M1015" s="1"/>
      <x:c r="N1015" s="1"/>
      <x:c r="O1015" s="1"/>
      <x:c r="P1015" s="1"/>
      <x:c r="Q1015" s="1"/>
      <x:c r="R1015" s="1"/>
      <x:c r="S1015" s="1"/>
      <x:c r="T1015" s="1"/>
      <x:c r="U1015" s="1"/>
      <x:c r="V1015" s="1"/>
      <x:c r="W1015" s="1"/>
      <x:c r="X1015" s="1"/>
      <x:c r="Y1015" s="1"/>
      <x:c r="Z1015" s="1"/>
    </x:row>
    <x:row r="1016">
      <x:c r="A1016" s="1"/>
      <x:c r="B1016" s="1"/>
      <x:c r="C1016" s="1"/>
      <x:c r="D1016" s="1"/>
      <x:c r="E1016" s="1"/>
      <x:c r="F1016" s="1"/>
      <x:c r="G1016" s="1"/>
      <x:c r="H1016" s="1"/>
      <x:c r="I1016" s="1"/>
      <x:c r="J1016" s="1"/>
      <x:c r="K1016" s="1"/>
      <x:c r="L1016" s="1"/>
      <x:c r="M1016" s="1"/>
      <x:c r="N1016" s="1"/>
      <x:c r="O1016" s="1"/>
      <x:c r="P1016" s="1"/>
      <x:c r="Q1016" s="1"/>
      <x:c r="R1016" s="1"/>
      <x:c r="S1016" s="1"/>
      <x:c r="T1016" s="1"/>
      <x:c r="U1016" s="1"/>
      <x:c r="V1016" s="1"/>
      <x:c r="W1016" s="1"/>
      <x:c r="X1016" s="1"/>
      <x:c r="Y1016" s="1"/>
      <x:c r="Z1016" s="1"/>
    </x:row>
    <x:row r="1017">
      <x:c r="A1017" s="1"/>
      <x:c r="B1017" s="1"/>
      <x:c r="C1017" s="1"/>
      <x:c r="D1017" s="1"/>
      <x:c r="E1017" s="1"/>
      <x:c r="F1017" s="1"/>
      <x:c r="G1017" s="1"/>
      <x:c r="H1017" s="1"/>
      <x:c r="I1017" s="1"/>
      <x:c r="J1017" s="1"/>
      <x:c r="K1017" s="1"/>
      <x:c r="L1017" s="1"/>
      <x:c r="M1017" s="1"/>
      <x:c r="N1017" s="1"/>
      <x:c r="O1017" s="1"/>
      <x:c r="P1017" s="1"/>
      <x:c r="Q1017" s="1"/>
      <x:c r="R1017" s="1"/>
      <x:c r="S1017" s="1"/>
      <x:c r="T1017" s="1"/>
      <x:c r="U1017" s="1"/>
      <x:c r="V1017" s="1"/>
      <x:c r="W1017" s="1"/>
      <x:c r="X1017" s="1"/>
      <x:c r="Y1017" s="1"/>
      <x:c r="Z1017" s="1"/>
    </x:row>
    <x:row r="1018">
      <x:c r="A1018" s="1"/>
      <x:c r="B1018" s="1"/>
      <x:c r="C1018" s="1"/>
      <x:c r="D1018" s="1"/>
      <x:c r="E1018" s="1"/>
      <x:c r="F1018" s="1"/>
      <x:c r="G1018" s="1"/>
      <x:c r="H1018" s="1"/>
      <x:c r="I1018" s="1"/>
      <x:c r="J1018" s="1"/>
      <x:c r="K1018" s="1"/>
      <x:c r="L1018" s="1"/>
      <x:c r="M1018" s="1"/>
      <x:c r="N1018" s="1"/>
      <x:c r="O1018" s="1"/>
      <x:c r="P1018" s="1"/>
      <x:c r="Q1018" s="1"/>
      <x:c r="R1018" s="1"/>
      <x:c r="S1018" s="1"/>
      <x:c r="T1018" s="1"/>
      <x:c r="U1018" s="1"/>
      <x:c r="V1018" s="1"/>
      <x:c r="W1018" s="1"/>
      <x:c r="X1018" s="1"/>
      <x:c r="Y1018" s="1"/>
      <x:c r="Z1018" s="1"/>
    </x:row>
    <x:row r="1019">
      <x:c r="A1019" s="1"/>
      <x:c r="B1019" s="1"/>
      <x:c r="C1019" s="1"/>
      <x:c r="D1019" s="1"/>
      <x:c r="E1019" s="1"/>
      <x:c r="F1019" s="1"/>
      <x:c r="G1019" s="1"/>
      <x:c r="H1019" s="1"/>
      <x:c r="I1019" s="1"/>
      <x:c r="J1019" s="1"/>
      <x:c r="K1019" s="1"/>
      <x:c r="L1019" s="1"/>
      <x:c r="M1019" s="1"/>
      <x:c r="N1019" s="1"/>
      <x:c r="O1019" s="1"/>
      <x:c r="P1019" s="1"/>
      <x:c r="Q1019" s="1"/>
      <x:c r="R1019" s="1"/>
      <x:c r="S1019" s="1"/>
      <x:c r="T1019" s="1"/>
      <x:c r="U1019" s="1"/>
      <x:c r="V1019" s="1"/>
      <x:c r="W1019" s="1"/>
      <x:c r="X1019" s="1"/>
      <x:c r="Y1019" s="1"/>
      <x:c r="Z1019" s="1"/>
    </x:row>
    <x:row r="1020">
      <x:c r="A1020" s="1"/>
      <x:c r="B1020" s="1"/>
      <x:c r="C1020" s="1"/>
      <x:c r="D1020" s="1"/>
      <x:c r="E1020" s="1"/>
      <x:c r="F1020" s="1"/>
      <x:c r="G1020" s="1"/>
      <x:c r="H1020" s="1"/>
      <x:c r="I1020" s="1"/>
      <x:c r="J1020" s="1"/>
      <x:c r="K1020" s="1"/>
      <x:c r="L1020" s="1"/>
      <x:c r="M1020" s="1"/>
      <x:c r="N1020" s="1"/>
      <x:c r="O1020" s="1"/>
      <x:c r="P1020" s="1"/>
      <x:c r="Q1020" s="1"/>
      <x:c r="R1020" s="1"/>
      <x:c r="S1020" s="1"/>
      <x:c r="T1020" s="1"/>
      <x:c r="U1020" s="1"/>
      <x:c r="V1020" s="1"/>
      <x:c r="W1020" s="1"/>
      <x:c r="X1020" s="1"/>
      <x:c r="Y1020" s="1"/>
      <x:c r="Z1020" s="1"/>
    </x:row>
    <x:row r="1021">
      <x:c r="A1021" s="1"/>
      <x:c r="B1021" s="1"/>
      <x:c r="C1021" s="1"/>
      <x:c r="D1021" s="1"/>
      <x:c r="E1021" s="1"/>
      <x:c r="F1021" s="1"/>
      <x:c r="G1021" s="1"/>
      <x:c r="H1021" s="1"/>
      <x:c r="I1021" s="1"/>
      <x:c r="J1021" s="1"/>
      <x:c r="K1021" s="1"/>
      <x:c r="L1021" s="1"/>
      <x:c r="M1021" s="1"/>
      <x:c r="N1021" s="1"/>
      <x:c r="O1021" s="1"/>
      <x:c r="P1021" s="1"/>
      <x:c r="Q1021" s="1"/>
      <x:c r="R1021" s="1"/>
      <x:c r="S1021" s="1"/>
      <x:c r="T1021" s="1"/>
      <x:c r="U1021" s="1"/>
      <x:c r="V1021" s="1"/>
      <x:c r="W1021" s="1"/>
      <x:c r="X1021" s="1"/>
      <x:c r="Y1021" s="1"/>
      <x:c r="Z1021" s="1"/>
    </x:row>
    <x:row r="1022">
      <x:c r="A1022" s="1"/>
      <x:c r="B1022" s="1"/>
      <x:c r="C1022" s="1"/>
      <x:c r="D1022" s="1"/>
      <x:c r="E1022" s="1"/>
      <x:c r="F1022" s="1"/>
      <x:c r="G1022" s="1"/>
      <x:c r="H1022" s="1"/>
      <x:c r="I1022" s="1"/>
      <x:c r="J1022" s="1"/>
      <x:c r="K1022" s="1"/>
      <x:c r="L1022" s="1"/>
      <x:c r="M1022" s="1"/>
      <x:c r="N1022" s="1"/>
      <x:c r="O1022" s="1"/>
      <x:c r="P1022" s="1"/>
      <x:c r="Q1022" s="1"/>
      <x:c r="R1022" s="1"/>
      <x:c r="S1022" s="1"/>
      <x:c r="T1022" s="1"/>
      <x:c r="U1022" s="1"/>
      <x:c r="V1022" s="1"/>
      <x:c r="W1022" s="1"/>
      <x:c r="X1022" s="1"/>
      <x:c r="Y1022" s="1"/>
      <x:c r="Z1022" s="1"/>
    </x:row>
    <x:row r="1023">
      <x:c r="A1023" s="1"/>
      <x:c r="B1023" s="1"/>
      <x:c r="C1023" s="1"/>
      <x:c r="D1023" s="1"/>
      <x:c r="E1023" s="1"/>
      <x:c r="F1023" s="1"/>
      <x:c r="G1023" s="1"/>
      <x:c r="H1023" s="1"/>
      <x:c r="I1023" s="1"/>
      <x:c r="J1023" s="1"/>
      <x:c r="K1023" s="1"/>
      <x:c r="L1023" s="1"/>
      <x:c r="M1023" s="1"/>
      <x:c r="N1023" s="1"/>
      <x:c r="O1023" s="1"/>
      <x:c r="P1023" s="1"/>
      <x:c r="Q1023" s="1"/>
      <x:c r="R1023" s="1"/>
      <x:c r="S1023" s="1"/>
      <x:c r="T1023" s="1"/>
      <x:c r="U1023" s="1"/>
      <x:c r="V1023" s="1"/>
      <x:c r="W1023" s="1"/>
      <x:c r="X1023" s="1"/>
      <x:c r="Y1023" s="1"/>
      <x:c r="Z1023" s="1"/>
    </x:row>
    <x:row r="1024">
      <x:c r="A1024" s="1"/>
      <x:c r="B1024" s="1"/>
      <x:c r="C1024" s="1"/>
      <x:c r="D1024" s="1"/>
      <x:c r="E1024" s="1"/>
      <x:c r="F1024" s="1"/>
      <x:c r="G1024" s="1"/>
      <x:c r="H1024" s="1"/>
      <x:c r="I1024" s="1"/>
      <x:c r="J1024" s="1"/>
      <x:c r="K1024" s="1"/>
      <x:c r="L1024" s="1"/>
      <x:c r="M1024" s="1"/>
      <x:c r="N1024" s="1"/>
      <x:c r="O1024" s="1"/>
      <x:c r="P1024" s="1"/>
      <x:c r="Q1024" s="1"/>
      <x:c r="R1024" s="1"/>
      <x:c r="S1024" s="1"/>
      <x:c r="T1024" s="1"/>
      <x:c r="U1024" s="1"/>
      <x:c r="V1024" s="1"/>
      <x:c r="W1024" s="1"/>
      <x:c r="X1024" s="1"/>
      <x:c r="Y1024" s="1"/>
      <x:c r="Z1024" s="1"/>
    </x:row>
    <x:row r="1025">
      <x:c r="A1025" s="1"/>
      <x:c r="B1025" s="1"/>
      <x:c r="C1025" s="1"/>
      <x:c r="D1025" s="1"/>
      <x:c r="E1025" s="1"/>
      <x:c r="F1025" s="1"/>
      <x:c r="G1025" s="1"/>
      <x:c r="H1025" s="1"/>
      <x:c r="I1025" s="1"/>
      <x:c r="J1025" s="1"/>
      <x:c r="K1025" s="1"/>
      <x:c r="L1025" s="1"/>
      <x:c r="M1025" s="1"/>
      <x:c r="N1025" s="1"/>
      <x:c r="O1025" s="1"/>
      <x:c r="P1025" s="1"/>
      <x:c r="Q1025" s="1"/>
      <x:c r="R1025" s="1"/>
      <x:c r="S1025" s="1"/>
      <x:c r="T1025" s="1"/>
      <x:c r="U1025" s="1"/>
      <x:c r="V1025" s="1"/>
      <x:c r="W1025" s="1"/>
      <x:c r="X1025" s="1"/>
      <x:c r="Y1025" s="1"/>
      <x:c r="Z1025" s="1"/>
    </x:row>
    <x:row r="1026">
      <x:c r="A1026" s="1"/>
      <x:c r="B1026" s="1"/>
      <x:c r="C1026" s="1"/>
      <x:c r="D1026" s="1"/>
      <x:c r="E1026" s="1"/>
      <x:c r="F1026" s="1"/>
      <x:c r="G1026" s="1"/>
      <x:c r="H1026" s="1"/>
      <x:c r="I1026" s="1"/>
      <x:c r="J1026" s="1"/>
      <x:c r="K1026" s="1"/>
      <x:c r="L1026" s="1"/>
      <x:c r="M1026" s="1"/>
      <x:c r="N1026" s="1"/>
      <x:c r="O1026" s="1"/>
      <x:c r="P1026" s="1"/>
      <x:c r="Q1026" s="1"/>
      <x:c r="R1026" s="1"/>
      <x:c r="S1026" s="1"/>
      <x:c r="T1026" s="1"/>
      <x:c r="U1026" s="1"/>
      <x:c r="V1026" s="1"/>
      <x:c r="W1026" s="1"/>
      <x:c r="X1026" s="1"/>
      <x:c r="Y1026" s="1"/>
      <x:c r="Z1026" s="1"/>
    </x:row>
    <x:row r="1027">
      <x:c r="A1027" s="1"/>
      <x:c r="B1027" s="1"/>
      <x:c r="C1027" s="1"/>
      <x:c r="D1027" s="1"/>
      <x:c r="E1027" s="1"/>
      <x:c r="F1027" s="1"/>
      <x:c r="G1027" s="1"/>
      <x:c r="H1027" s="1"/>
      <x:c r="I1027" s="1"/>
      <x:c r="J1027" s="1"/>
      <x:c r="K1027" s="1"/>
      <x:c r="L1027" s="1"/>
      <x:c r="M1027" s="1"/>
      <x:c r="N1027" s="1"/>
      <x:c r="O1027" s="1"/>
      <x:c r="P1027" s="1"/>
      <x:c r="Q1027" s="1"/>
      <x:c r="R1027" s="1"/>
      <x:c r="S1027" s="1"/>
      <x:c r="T1027" s="1"/>
      <x:c r="U1027" s="1"/>
      <x:c r="V1027" s="1"/>
      <x:c r="W1027" s="1"/>
      <x:c r="X1027" s="1"/>
      <x:c r="Y1027" s="1"/>
      <x:c r="Z1027" s="1"/>
    </x:row>
    <x:row r="1028">
      <x:c r="A1028" s="1"/>
      <x:c r="B1028" s="1"/>
      <x:c r="C1028" s="1"/>
      <x:c r="D1028" s="1"/>
      <x:c r="E1028" s="1"/>
      <x:c r="F1028" s="1"/>
      <x:c r="G1028" s="1"/>
      <x:c r="H1028" s="1"/>
      <x:c r="I1028" s="1"/>
      <x:c r="J1028" s="1"/>
      <x:c r="K1028" s="1"/>
      <x:c r="L1028" s="1"/>
      <x:c r="M1028" s="1"/>
      <x:c r="N1028" s="1"/>
      <x:c r="O1028" s="1"/>
      <x:c r="P1028" s="1"/>
      <x:c r="Q1028" s="1"/>
      <x:c r="R1028" s="1"/>
      <x:c r="S1028" s="1"/>
      <x:c r="T1028" s="1"/>
      <x:c r="U1028" s="1"/>
      <x:c r="V1028" s="1"/>
      <x:c r="W1028" s="1"/>
      <x:c r="X1028" s="1"/>
      <x:c r="Y1028" s="1"/>
      <x:c r="Z1028" s="1"/>
    </x:row>
    <x:row r="1029">
      <x:c r="A1029" s="1"/>
      <x:c r="B1029" s="1"/>
      <x:c r="C1029" s="1"/>
      <x:c r="D1029" s="1"/>
      <x:c r="E1029" s="1"/>
      <x:c r="F1029" s="1"/>
      <x:c r="G1029" s="1"/>
      <x:c r="H1029" s="1"/>
      <x:c r="I1029" s="1"/>
      <x:c r="J1029" s="1"/>
      <x:c r="K1029" s="1"/>
      <x:c r="L1029" s="1"/>
      <x:c r="M1029" s="1"/>
      <x:c r="N1029" s="1"/>
      <x:c r="O1029" s="1"/>
      <x:c r="P1029" s="1"/>
      <x:c r="Q1029" s="1"/>
      <x:c r="R1029" s="1"/>
      <x:c r="S1029" s="1"/>
      <x:c r="T1029" s="1"/>
      <x:c r="U1029" s="1"/>
      <x:c r="V1029" s="1"/>
      <x:c r="W1029" s="1"/>
      <x:c r="X1029" s="1"/>
      <x:c r="Y1029" s="1"/>
      <x:c r="Z1029" s="1"/>
    </x:row>
    <x:row r="1030">
      <x:c r="A1030" s="1"/>
      <x:c r="B1030" s="1"/>
      <x:c r="C1030" s="1"/>
      <x:c r="D1030" s="1"/>
      <x:c r="E1030" s="1"/>
      <x:c r="F1030" s="1"/>
      <x:c r="G1030" s="1"/>
      <x:c r="H1030" s="1"/>
      <x:c r="I1030" s="1"/>
      <x:c r="J1030" s="1"/>
      <x:c r="K1030" s="1"/>
      <x:c r="L1030" s="1"/>
      <x:c r="M1030" s="1"/>
      <x:c r="N1030" s="1"/>
      <x:c r="O1030" s="1"/>
      <x:c r="P1030" s="1"/>
      <x:c r="Q1030" s="1"/>
      <x:c r="R1030" s="1"/>
      <x:c r="S1030" s="1"/>
      <x:c r="T1030" s="1"/>
      <x:c r="U1030" s="1"/>
      <x:c r="V1030" s="1"/>
      <x:c r="W1030" s="1"/>
      <x:c r="X1030" s="1"/>
      <x:c r="Y1030" s="1"/>
      <x:c r="Z1030" s="1"/>
    </x:row>
    <x:row r="1031">
      <x:c r="A1031" s="1"/>
      <x:c r="B1031" s="1"/>
      <x:c r="C1031" s="1"/>
      <x:c r="D1031" s="1"/>
      <x:c r="E1031" s="1"/>
      <x:c r="F1031" s="1"/>
      <x:c r="G1031" s="1"/>
      <x:c r="H1031" s="1"/>
      <x:c r="I1031" s="1"/>
      <x:c r="J1031" s="1"/>
      <x:c r="K1031" s="1"/>
      <x:c r="L1031" s="1"/>
      <x:c r="M1031" s="1"/>
      <x:c r="N1031" s="1"/>
      <x:c r="O1031" s="1"/>
      <x:c r="P1031" s="1"/>
      <x:c r="Q1031" s="1"/>
      <x:c r="R1031" s="1"/>
      <x:c r="S1031" s="1"/>
      <x:c r="T1031" s="1"/>
      <x:c r="U1031" s="1"/>
      <x:c r="V1031" s="1"/>
      <x:c r="W1031" s="1"/>
      <x:c r="X1031" s="1"/>
      <x:c r="Y1031" s="1"/>
      <x:c r="Z1031" s="1"/>
    </x:row>
    <x:row r="1032">
      <x:c r="A1032" s="1"/>
      <x:c r="B1032" s="1"/>
      <x:c r="C1032" s="1"/>
      <x:c r="D1032" s="1"/>
      <x:c r="E1032" s="1"/>
      <x:c r="F1032" s="1"/>
      <x:c r="G1032" s="1"/>
      <x:c r="H1032" s="1"/>
      <x:c r="I1032" s="1"/>
      <x:c r="J1032" s="1"/>
      <x:c r="K1032" s="1"/>
      <x:c r="L1032" s="1"/>
      <x:c r="M1032" s="1"/>
      <x:c r="N1032" s="1"/>
      <x:c r="O1032" s="1"/>
      <x:c r="P1032" s="1"/>
      <x:c r="Q1032" s="1"/>
      <x:c r="R1032" s="1"/>
      <x:c r="S1032" s="1"/>
      <x:c r="T1032" s="1"/>
      <x:c r="U1032" s="1"/>
      <x:c r="V1032" s="1"/>
      <x:c r="W1032" s="1"/>
      <x:c r="X1032" s="1"/>
      <x:c r="Y1032" s="1"/>
      <x:c r="Z1032" s="1"/>
    </x:row>
    <x:row r="1033">
      <x:c r="A1033" s="1"/>
      <x:c r="B1033" s="1"/>
      <x:c r="C1033" s="1"/>
      <x:c r="D1033" s="1"/>
      <x:c r="E1033" s="1"/>
      <x:c r="F1033" s="1"/>
      <x:c r="G1033" s="1"/>
      <x:c r="H1033" s="1"/>
      <x:c r="I1033" s="1"/>
      <x:c r="J1033" s="1"/>
      <x:c r="K1033" s="1"/>
      <x:c r="L1033" s="1"/>
      <x:c r="M1033" s="1"/>
      <x:c r="N1033" s="1"/>
      <x:c r="O1033" s="1"/>
      <x:c r="P1033" s="1"/>
      <x:c r="Q1033" s="1"/>
      <x:c r="R1033" s="1"/>
      <x:c r="S1033" s="1"/>
      <x:c r="T1033" s="1"/>
      <x:c r="U1033" s="1"/>
      <x:c r="V1033" s="1"/>
      <x:c r="W1033" s="1"/>
      <x:c r="X1033" s="1"/>
      <x:c r="Y1033" s="1"/>
      <x:c r="Z1033" s="1"/>
    </x:row>
    <x:row r="1034">
      <x:c r="A1034" s="1"/>
      <x:c r="B1034" s="1"/>
      <x:c r="C1034" s="1"/>
      <x:c r="D1034" s="1"/>
      <x:c r="E1034" s="1"/>
      <x:c r="F1034" s="1"/>
      <x:c r="G1034" s="1"/>
      <x:c r="H1034" s="1"/>
      <x:c r="I1034" s="1"/>
      <x:c r="J1034" s="1"/>
      <x:c r="K1034" s="1"/>
      <x:c r="L1034" s="1"/>
      <x:c r="M1034" s="1"/>
      <x:c r="N1034" s="1"/>
      <x:c r="O1034" s="1"/>
      <x:c r="P1034" s="1"/>
      <x:c r="Q1034" s="1"/>
      <x:c r="R1034" s="1"/>
      <x:c r="S1034" s="1"/>
      <x:c r="T1034" s="1"/>
      <x:c r="U1034" s="1"/>
      <x:c r="V1034" s="1"/>
      <x:c r="W1034" s="1"/>
      <x:c r="X1034" s="1"/>
      <x:c r="Y1034" s="1"/>
      <x:c r="Z1034" s="1"/>
    </x:row>
    <x:row r="1035">
      <x:c r="A1035" s="1"/>
      <x:c r="B1035" s="1"/>
      <x:c r="C1035" s="1"/>
      <x:c r="D1035" s="1"/>
      <x:c r="E1035" s="1"/>
      <x:c r="F1035" s="1"/>
      <x:c r="G1035" s="1"/>
      <x:c r="H1035" s="1"/>
      <x:c r="I1035" s="1"/>
      <x:c r="J1035" s="1"/>
      <x:c r="K1035" s="1"/>
      <x:c r="L1035" s="1"/>
      <x:c r="M1035" s="1"/>
      <x:c r="N1035" s="1"/>
      <x:c r="O1035" s="1"/>
      <x:c r="P1035" s="1"/>
      <x:c r="Q1035" s="1"/>
      <x:c r="R1035" s="1"/>
      <x:c r="S1035" s="1"/>
      <x:c r="T1035" s="1"/>
      <x:c r="U1035" s="1"/>
      <x:c r="V1035" s="1"/>
      <x:c r="W1035" s="1"/>
      <x:c r="X1035" s="1"/>
      <x:c r="Y1035" s="1"/>
      <x:c r="Z1035" s="1"/>
    </x:row>
    <x:row r="1036">
      <x:c r="A1036" s="1"/>
      <x:c r="B1036" s="1"/>
      <x:c r="C1036" s="1"/>
      <x:c r="D1036" s="1"/>
      <x:c r="E1036" s="1"/>
      <x:c r="F1036" s="1"/>
      <x:c r="G1036" s="1"/>
      <x:c r="H1036" s="1"/>
      <x:c r="I1036" s="1"/>
      <x:c r="J1036" s="1"/>
      <x:c r="K1036" s="1"/>
      <x:c r="L1036" s="1"/>
      <x:c r="M1036" s="1"/>
      <x:c r="N1036" s="1"/>
      <x:c r="O1036" s="1"/>
      <x:c r="P1036" s="1"/>
      <x:c r="Q1036" s="1"/>
      <x:c r="R1036" s="1"/>
      <x:c r="S1036" s="1"/>
      <x:c r="T1036" s="1"/>
      <x:c r="U1036" s="1"/>
      <x:c r="V1036" s="1"/>
      <x:c r="W1036" s="1"/>
      <x:c r="X1036" s="1"/>
      <x:c r="Y1036" s="1"/>
      <x:c r="Z1036" s="1"/>
    </x:row>
    <x:row r="1037">
      <x:c r="A1037" s="1"/>
      <x:c r="B1037" s="1"/>
      <x:c r="C1037" s="1"/>
      <x:c r="D1037" s="1"/>
      <x:c r="E1037" s="1"/>
      <x:c r="F1037" s="1"/>
      <x:c r="G1037" s="1"/>
      <x:c r="H1037" s="1"/>
      <x:c r="I1037" s="1"/>
      <x:c r="J1037" s="1"/>
      <x:c r="K1037" s="1"/>
      <x:c r="L1037" s="1"/>
      <x:c r="M1037" s="1"/>
      <x:c r="N1037" s="1"/>
      <x:c r="O1037" s="1"/>
      <x:c r="P1037" s="1"/>
      <x:c r="Q1037" s="1"/>
      <x:c r="R1037" s="1"/>
      <x:c r="S1037" s="1"/>
      <x:c r="T1037" s="1"/>
      <x:c r="U1037" s="1"/>
      <x:c r="V1037" s="1"/>
      <x:c r="W1037" s="1"/>
      <x:c r="X1037" s="1"/>
      <x:c r="Y1037" s="1"/>
      <x:c r="Z1037" s="1"/>
    </x:row>
    <x:row r="1038">
      <x:c r="A1038" s="1"/>
      <x:c r="B1038" s="1"/>
      <x:c r="C1038" s="1"/>
      <x:c r="D1038" s="1"/>
      <x:c r="E1038" s="1"/>
      <x:c r="F1038" s="1"/>
      <x:c r="G1038" s="1"/>
      <x:c r="H1038" s="1"/>
      <x:c r="I1038" s="1"/>
      <x:c r="J1038" s="1"/>
      <x:c r="K1038" s="1"/>
      <x:c r="L1038" s="1"/>
      <x:c r="M1038" s="1"/>
      <x:c r="N1038" s="1"/>
      <x:c r="O1038" s="1"/>
      <x:c r="P1038" s="1"/>
      <x:c r="Q1038" s="1"/>
      <x:c r="R1038" s="1"/>
      <x:c r="S1038" s="1"/>
      <x:c r="T1038" s="1"/>
      <x:c r="U1038" s="1"/>
      <x:c r="V1038" s="1"/>
      <x:c r="W1038" s="1"/>
      <x:c r="X1038" s="1"/>
      <x:c r="Y1038" s="1"/>
      <x:c r="Z1038" s="1"/>
    </x:row>
    <x:row r="1039">
      <x:c r="A1039" s="1"/>
      <x:c r="B1039" s="1"/>
      <x:c r="C1039" s="1"/>
      <x:c r="D1039" s="1"/>
      <x:c r="E1039" s="1"/>
      <x:c r="F1039" s="1"/>
      <x:c r="G1039" s="1"/>
      <x:c r="H1039" s="1"/>
      <x:c r="I1039" s="1"/>
      <x:c r="J1039" s="1"/>
      <x:c r="K1039" s="1"/>
      <x:c r="L1039" s="1"/>
      <x:c r="M1039" s="1"/>
      <x:c r="N1039" s="1"/>
      <x:c r="O1039" s="1"/>
      <x:c r="P1039" s="1"/>
      <x:c r="Q1039" s="1"/>
      <x:c r="R1039" s="1"/>
      <x:c r="S1039" s="1"/>
      <x:c r="T1039" s="1"/>
      <x:c r="U1039" s="1"/>
      <x:c r="V1039" s="1"/>
      <x:c r="W1039" s="1"/>
      <x:c r="X1039" s="1"/>
      <x:c r="Y1039" s="1"/>
      <x:c r="Z1039" s="1"/>
    </x:row>
    <x:row r="1040">
      <x:c r="A1040" s="1"/>
      <x:c r="B1040" s="1"/>
      <x:c r="C1040" s="1"/>
      <x:c r="D1040" s="1"/>
      <x:c r="E1040" s="1"/>
      <x:c r="F1040" s="1"/>
      <x:c r="G1040" s="1"/>
      <x:c r="H1040" s="1"/>
      <x:c r="I1040" s="1"/>
      <x:c r="J1040" s="1"/>
      <x:c r="K1040" s="1"/>
      <x:c r="L1040" s="1"/>
      <x:c r="M1040" s="1"/>
      <x:c r="N1040" s="1"/>
      <x:c r="O1040" s="1"/>
      <x:c r="P1040" s="1"/>
      <x:c r="Q1040" s="1"/>
      <x:c r="R1040" s="1"/>
      <x:c r="S1040" s="1"/>
      <x:c r="T1040" s="1"/>
      <x:c r="U1040" s="1"/>
      <x:c r="V1040" s="1"/>
      <x:c r="W1040" s="1"/>
      <x:c r="X1040" s="1"/>
      <x:c r="Y1040" s="1"/>
      <x:c r="Z1040" s="1"/>
    </x:row>
    <x:row r="1041">
      <x:c r="A1041" s="1"/>
      <x:c r="B1041" s="1"/>
      <x:c r="C1041" s="1"/>
      <x:c r="D1041" s="1"/>
      <x:c r="E1041" s="1"/>
      <x:c r="F1041" s="1"/>
      <x:c r="G1041" s="1"/>
      <x:c r="H1041" s="1"/>
      <x:c r="I1041" s="1"/>
      <x:c r="J1041" s="1"/>
      <x:c r="K1041" s="1"/>
      <x:c r="L1041" s="1"/>
      <x:c r="M1041" s="1"/>
      <x:c r="N1041" s="1"/>
      <x:c r="O1041" s="1"/>
      <x:c r="P1041" s="1"/>
      <x:c r="Q1041" s="1"/>
      <x:c r="R1041" s="1"/>
      <x:c r="S1041" s="1"/>
      <x:c r="T1041" s="1"/>
      <x:c r="U1041" s="1"/>
      <x:c r="V1041" s="1"/>
      <x:c r="W1041" s="1"/>
      <x:c r="X1041" s="1"/>
      <x:c r="Y1041" s="1"/>
      <x:c r="Z1041" s="1"/>
    </x:row>
    <x:row r="1042">
      <x:c r="A1042" s="1"/>
      <x:c r="B1042" s="1"/>
      <x:c r="C1042" s="1"/>
      <x:c r="D1042" s="1"/>
      <x:c r="E1042" s="1"/>
      <x:c r="F1042" s="1"/>
      <x:c r="G1042" s="1"/>
      <x:c r="H1042" s="1"/>
      <x:c r="I1042" s="1"/>
      <x:c r="J1042" s="1"/>
      <x:c r="K1042" s="1"/>
      <x:c r="L1042" s="1"/>
      <x:c r="M1042" s="1"/>
      <x:c r="N1042" s="1"/>
      <x:c r="O1042" s="1"/>
      <x:c r="P1042" s="1"/>
      <x:c r="Q1042" s="1"/>
      <x:c r="R1042" s="1"/>
      <x:c r="S1042" s="1"/>
      <x:c r="T1042" s="1"/>
      <x:c r="U1042" s="1"/>
      <x:c r="V1042" s="1"/>
      <x:c r="W1042" s="1"/>
      <x:c r="X1042" s="1"/>
      <x:c r="Y1042" s="1"/>
      <x:c r="Z1042" s="1"/>
    </x:row>
    <x:row r="1043">
      <x:c r="A1043" s="1"/>
      <x:c r="B1043" s="1"/>
      <x:c r="C1043" s="1"/>
      <x:c r="D1043" s="1"/>
      <x:c r="E1043" s="1"/>
      <x:c r="F1043" s="1"/>
      <x:c r="G1043" s="1"/>
      <x:c r="H1043" s="1"/>
      <x:c r="I1043" s="1"/>
      <x:c r="J1043" s="1"/>
      <x:c r="K1043" s="1"/>
      <x:c r="L1043" s="1"/>
      <x:c r="M1043" s="1"/>
      <x:c r="N1043" s="1"/>
      <x:c r="O1043" s="1"/>
      <x:c r="P1043" s="1"/>
      <x:c r="Q1043" s="1"/>
      <x:c r="R1043" s="1"/>
      <x:c r="S1043" s="1"/>
      <x:c r="T1043" s="1"/>
      <x:c r="U1043" s="1"/>
      <x:c r="V1043" s="1"/>
      <x:c r="W1043" s="1"/>
      <x:c r="X1043" s="1"/>
      <x:c r="Y1043" s="1"/>
      <x:c r="Z1043" s="1"/>
    </x:row>
    <x:row r="1044">
      <x:c r="A1044" s="1"/>
      <x:c r="B1044" s="1"/>
      <x:c r="C1044" s="1"/>
      <x:c r="D1044" s="1"/>
      <x:c r="E1044" s="1"/>
      <x:c r="F1044" s="1"/>
      <x:c r="G1044" s="1"/>
      <x:c r="H1044" s="1"/>
      <x:c r="I1044" s="1"/>
      <x:c r="J1044" s="1"/>
      <x:c r="K1044" s="1"/>
      <x:c r="L1044" s="1"/>
      <x:c r="M1044" s="1"/>
      <x:c r="N1044" s="1"/>
      <x:c r="O1044" s="1"/>
      <x:c r="P1044" s="1"/>
      <x:c r="Q1044" s="1"/>
      <x:c r="R1044" s="1"/>
      <x:c r="S1044" s="1"/>
      <x:c r="T1044" s="1"/>
      <x:c r="U1044" s="1"/>
      <x:c r="V1044" s="1"/>
      <x:c r="W1044" s="1"/>
      <x:c r="X1044" s="1"/>
      <x:c r="Y1044" s="1"/>
      <x:c r="Z1044" s="1"/>
    </x:row>
    <x:row r="1045">
      <x:c r="A1045" s="1"/>
      <x:c r="B1045" s="1"/>
      <x:c r="C1045" s="1"/>
      <x:c r="D1045" s="1"/>
      <x:c r="E1045" s="1"/>
      <x:c r="F1045" s="1"/>
      <x:c r="G1045" s="1"/>
      <x:c r="H1045" s="1"/>
      <x:c r="I1045" s="1"/>
      <x:c r="J1045" s="1"/>
      <x:c r="K1045" s="1"/>
      <x:c r="L1045" s="1"/>
      <x:c r="M1045" s="1"/>
      <x:c r="N1045" s="1"/>
      <x:c r="O1045" s="1"/>
      <x:c r="P1045" s="1"/>
      <x:c r="Q1045" s="1"/>
      <x:c r="R1045" s="1"/>
      <x:c r="S1045" s="1"/>
      <x:c r="T1045" s="1"/>
      <x:c r="U1045" s="1"/>
      <x:c r="V1045" s="1"/>
      <x:c r="W1045" s="1"/>
      <x:c r="X1045" s="1"/>
      <x:c r="Y1045" s="1"/>
      <x:c r="Z1045" s="1"/>
    </x:row>
    <x:row r="1046">
      <x:c r="A1046" s="1"/>
      <x:c r="B1046" s="1"/>
      <x:c r="C1046" s="1"/>
      <x:c r="D1046" s="1"/>
      <x:c r="E1046" s="1"/>
      <x:c r="F1046" s="1"/>
      <x:c r="G1046" s="1"/>
      <x:c r="H1046" s="1"/>
      <x:c r="I1046" s="1"/>
      <x:c r="J1046" s="1"/>
      <x:c r="K1046" s="1"/>
      <x:c r="L1046" s="1"/>
      <x:c r="M1046" s="1"/>
      <x:c r="N1046" s="1"/>
      <x:c r="O1046" s="1"/>
      <x:c r="P1046" s="1"/>
      <x:c r="Q1046" s="1"/>
      <x:c r="R1046" s="1"/>
      <x:c r="S1046" s="1"/>
      <x:c r="T1046" s="1"/>
      <x:c r="U1046" s="1"/>
      <x:c r="V1046" s="1"/>
      <x:c r="W1046" s="1"/>
      <x:c r="X1046" s="1"/>
      <x:c r="Y1046" s="1"/>
      <x:c r="Z1046" s="1"/>
    </x:row>
    <x:row r="1047">
      <x:c r="A1047" s="1"/>
      <x:c r="B1047" s="1"/>
      <x:c r="C1047" s="1"/>
      <x:c r="D1047" s="1"/>
      <x:c r="E1047" s="1"/>
      <x:c r="F1047" s="1"/>
      <x:c r="G1047" s="1"/>
      <x:c r="H1047" s="1"/>
      <x:c r="I1047" s="1"/>
      <x:c r="J1047" s="1"/>
      <x:c r="K1047" s="1"/>
      <x:c r="L1047" s="1"/>
      <x:c r="M1047" s="1"/>
      <x:c r="N1047" s="1"/>
      <x:c r="O1047" s="1"/>
      <x:c r="P1047" s="1"/>
      <x:c r="Q1047" s="1"/>
      <x:c r="R1047" s="1"/>
      <x:c r="S1047" s="1"/>
      <x:c r="T1047" s="1"/>
      <x:c r="U1047" s="1"/>
      <x:c r="V1047" s="1"/>
      <x:c r="W1047" s="1"/>
      <x:c r="X1047" s="1"/>
      <x:c r="Y1047" s="1"/>
      <x:c r="Z1047" s="1"/>
    </x:row>
    <x:row r="1048">
      <x:c r="A1048" s="1"/>
      <x:c r="B1048" s="1"/>
      <x:c r="C1048" s="1"/>
      <x:c r="D1048" s="1"/>
      <x:c r="E1048" s="1"/>
      <x:c r="F1048" s="1"/>
      <x:c r="G1048" s="1"/>
      <x:c r="H1048" s="1"/>
      <x:c r="I1048" s="1"/>
      <x:c r="J1048" s="1"/>
      <x:c r="K1048" s="1"/>
      <x:c r="L1048" s="1"/>
      <x:c r="M1048" s="1"/>
      <x:c r="N1048" s="1"/>
      <x:c r="O1048" s="1"/>
      <x:c r="P1048" s="1"/>
      <x:c r="Q1048" s="1"/>
      <x:c r="R1048" s="1"/>
      <x:c r="S1048" s="1"/>
      <x:c r="T1048" s="1"/>
      <x:c r="U1048" s="1"/>
      <x:c r="V1048" s="1"/>
      <x:c r="W1048" s="1"/>
      <x:c r="X1048" s="1"/>
      <x:c r="Y1048" s="1"/>
      <x:c r="Z1048" s="1"/>
    </x:row>
    <x:row r="1049">
      <x:c r="A1049" s="1"/>
      <x:c r="B1049" s="1"/>
      <x:c r="C1049" s="1"/>
      <x:c r="D1049" s="1"/>
      <x:c r="E1049" s="1"/>
      <x:c r="F1049" s="1"/>
      <x:c r="G1049" s="1"/>
      <x:c r="H1049" s="1"/>
      <x:c r="I1049" s="1"/>
      <x:c r="J1049" s="1"/>
      <x:c r="K1049" s="1"/>
      <x:c r="L1049" s="1"/>
      <x:c r="M1049" s="1"/>
      <x:c r="N1049" s="1"/>
      <x:c r="O1049" s="1"/>
      <x:c r="P1049" s="1"/>
      <x:c r="Q1049" s="1"/>
      <x:c r="R1049" s="1"/>
      <x:c r="S1049" s="1"/>
      <x:c r="T1049" s="1"/>
      <x:c r="U1049" s="1"/>
      <x:c r="V1049" s="1"/>
      <x:c r="W1049" s="1"/>
      <x:c r="X1049" s="1"/>
      <x:c r="Y1049" s="1"/>
      <x:c r="Z1049" s="1"/>
    </x:row>
    <x:row r="1050">
      <x:c r="A1050" s="1"/>
      <x:c r="B1050" s="1"/>
      <x:c r="C1050" s="1"/>
      <x:c r="D1050" s="1"/>
      <x:c r="E1050" s="1"/>
      <x:c r="F1050" s="1"/>
      <x:c r="G1050" s="1"/>
      <x:c r="H1050" s="1"/>
      <x:c r="I1050" s="1"/>
      <x:c r="J1050" s="1"/>
      <x:c r="K1050" s="1"/>
      <x:c r="L1050" s="1"/>
      <x:c r="M1050" s="1"/>
      <x:c r="N1050" s="1"/>
      <x:c r="O1050" s="1"/>
      <x:c r="P1050" s="1"/>
      <x:c r="Q1050" s="1"/>
      <x:c r="R1050" s="1"/>
      <x:c r="S1050" s="1"/>
      <x:c r="T1050" s="1"/>
      <x:c r="U1050" s="1"/>
      <x:c r="V1050" s="1"/>
      <x:c r="W1050" s="1"/>
      <x:c r="X1050" s="1"/>
      <x:c r="Y1050" s="1"/>
      <x:c r="Z1050" s="1"/>
    </x:row>
    <x:row r="1051">
      <x:c r="A1051" s="1"/>
      <x:c r="B1051" s="1"/>
      <x:c r="C1051" s="1"/>
      <x:c r="D1051" s="1"/>
      <x:c r="E1051" s="1"/>
      <x:c r="F1051" s="1"/>
      <x:c r="G1051" s="1"/>
      <x:c r="H1051" s="1"/>
      <x:c r="I1051" s="1"/>
      <x:c r="J1051" s="1"/>
      <x:c r="K1051" s="1"/>
      <x:c r="L1051" s="1"/>
      <x:c r="M1051" s="1"/>
      <x:c r="N1051" s="1"/>
      <x:c r="O1051" s="1"/>
      <x:c r="P1051" s="1"/>
      <x:c r="Q1051" s="1"/>
      <x:c r="R1051" s="1"/>
      <x:c r="S1051" s="1"/>
      <x:c r="T1051" s="1"/>
      <x:c r="U1051" s="1"/>
      <x:c r="V1051" s="1"/>
      <x:c r="W1051" s="1"/>
      <x:c r="X1051" s="1"/>
      <x:c r="Y1051" s="1"/>
      <x:c r="Z1051" s="1"/>
    </x:row>
    <x:row r="1052">
      <x:c r="A1052" s="1"/>
      <x:c r="B1052" s="1"/>
      <x:c r="C1052" s="1"/>
      <x:c r="D1052" s="1"/>
      <x:c r="E1052" s="1"/>
      <x:c r="F1052" s="1"/>
      <x:c r="G1052" s="1"/>
      <x:c r="H1052" s="1"/>
      <x:c r="I1052" s="1"/>
      <x:c r="J1052" s="1"/>
      <x:c r="K1052" s="1"/>
      <x:c r="L1052" s="1"/>
      <x:c r="M1052" s="1"/>
      <x:c r="N1052" s="1"/>
      <x:c r="O1052" s="1"/>
      <x:c r="P1052" s="1"/>
      <x:c r="Q1052" s="1"/>
      <x:c r="R1052" s="1"/>
      <x:c r="S1052" s="1"/>
      <x:c r="T1052" s="1"/>
      <x:c r="U1052" s="1"/>
      <x:c r="V1052" s="1"/>
      <x:c r="W1052" s="1"/>
      <x:c r="X1052" s="1"/>
      <x:c r="Y1052" s="1"/>
      <x:c r="Z1052" s="1"/>
    </x:row>
    <x:row r="1053">
      <x:c r="A1053" s="1"/>
      <x:c r="B1053" s="1"/>
      <x:c r="C1053" s="1"/>
      <x:c r="D1053" s="1"/>
      <x:c r="E1053" s="1"/>
      <x:c r="F1053" s="1"/>
      <x:c r="G1053" s="1"/>
      <x:c r="H1053" s="1"/>
      <x:c r="I1053" s="1"/>
      <x:c r="J1053" s="1"/>
      <x:c r="K1053" s="1"/>
      <x:c r="L1053" s="1"/>
      <x:c r="M1053" s="1"/>
      <x:c r="N1053" s="1"/>
      <x:c r="O1053" s="1"/>
      <x:c r="P1053" s="1"/>
      <x:c r="Q1053" s="1"/>
      <x:c r="R1053" s="1"/>
      <x:c r="S1053" s="1"/>
      <x:c r="T1053" s="1"/>
      <x:c r="U1053" s="1"/>
      <x:c r="V1053" s="1"/>
      <x:c r="W1053" s="1"/>
      <x:c r="X1053" s="1"/>
      <x:c r="Y1053" s="1"/>
      <x:c r="Z1053" s="1"/>
    </x:row>
    <x:row r="1054">
      <x:c r="A1054" s="1"/>
      <x:c r="B1054" s="1"/>
      <x:c r="C1054" s="1"/>
      <x:c r="D1054" s="1"/>
      <x:c r="E1054" s="1"/>
      <x:c r="F1054" s="1"/>
      <x:c r="G1054" s="1"/>
      <x:c r="H1054" s="1"/>
      <x:c r="I1054" s="1"/>
      <x:c r="J1054" s="1"/>
      <x:c r="K1054" s="1"/>
      <x:c r="L1054" s="1"/>
      <x:c r="M1054" s="1"/>
      <x:c r="N1054" s="1"/>
      <x:c r="O1054" s="1"/>
      <x:c r="P1054" s="1"/>
      <x:c r="Q1054" s="1"/>
      <x:c r="R1054" s="1"/>
      <x:c r="S1054" s="1"/>
      <x:c r="T1054" s="1"/>
      <x:c r="U1054" s="1"/>
      <x:c r="V1054" s="1"/>
      <x:c r="W1054" s="1"/>
      <x:c r="X1054" s="1"/>
      <x:c r="Y1054" s="1"/>
      <x:c r="Z1054" s="1"/>
    </x:row>
    <x:row r="1055">
      <x:c r="A1055" s="1"/>
      <x:c r="B1055" s="1"/>
      <x:c r="C1055" s="1"/>
      <x:c r="D1055" s="1"/>
      <x:c r="E1055" s="1"/>
      <x:c r="F1055" s="1"/>
      <x:c r="G1055" s="1"/>
      <x:c r="H1055" s="1"/>
      <x:c r="I1055" s="1"/>
      <x:c r="J1055" s="1"/>
      <x:c r="K1055" s="1"/>
      <x:c r="L1055" s="1"/>
      <x:c r="M1055" s="1"/>
      <x:c r="N1055" s="1"/>
      <x:c r="O1055" s="1"/>
      <x:c r="P1055" s="1"/>
      <x:c r="Q1055" s="1"/>
      <x:c r="R1055" s="1"/>
      <x:c r="S1055" s="1"/>
      <x:c r="T1055" s="1"/>
      <x:c r="U1055" s="1"/>
      <x:c r="V1055" s="1"/>
      <x:c r="W1055" s="1"/>
      <x:c r="X1055" s="1"/>
      <x:c r="Y1055" s="1"/>
      <x:c r="Z1055" s="1"/>
    </x:row>
    <x:row r="1056">
      <x:c r="A1056" s="1"/>
      <x:c r="B1056" s="1"/>
      <x:c r="C1056" s="1"/>
      <x:c r="D1056" s="1"/>
      <x:c r="E1056" s="1"/>
      <x:c r="F1056" s="1"/>
      <x:c r="G1056" s="1"/>
      <x:c r="H1056" s="1"/>
      <x:c r="I1056" s="1"/>
      <x:c r="J1056" s="1"/>
      <x:c r="K1056" s="1"/>
      <x:c r="L1056" s="1"/>
      <x:c r="M1056" s="1"/>
      <x:c r="N1056" s="1"/>
      <x:c r="O1056" s="1"/>
      <x:c r="P1056" s="1"/>
      <x:c r="Q1056" s="1"/>
      <x:c r="R1056" s="1"/>
      <x:c r="S1056" s="1"/>
      <x:c r="T1056" s="1"/>
      <x:c r="U1056" s="1"/>
      <x:c r="V1056" s="1"/>
      <x:c r="W1056" s="1"/>
      <x:c r="X1056" s="1"/>
      <x:c r="Y1056" s="1"/>
      <x:c r="Z1056" s="1"/>
    </x:row>
    <x:row r="1057">
      <x:c r="A1057" s="1"/>
      <x:c r="B1057" s="1"/>
      <x:c r="C1057" s="1"/>
      <x:c r="D1057" s="1"/>
      <x:c r="E1057" s="1"/>
      <x:c r="F1057" s="1"/>
      <x:c r="G1057" s="1"/>
      <x:c r="H1057" s="1"/>
      <x:c r="I1057" s="1"/>
      <x:c r="J1057" s="1"/>
      <x:c r="K1057" s="1"/>
      <x:c r="L1057" s="1"/>
      <x:c r="M1057" s="1"/>
      <x:c r="N1057" s="1"/>
      <x:c r="O1057" s="1"/>
      <x:c r="P1057" s="1"/>
      <x:c r="Q1057" s="1"/>
      <x:c r="R1057" s="1"/>
      <x:c r="S1057" s="1"/>
      <x:c r="T1057" s="1"/>
      <x:c r="U1057" s="1"/>
      <x:c r="V1057" s="1"/>
      <x:c r="W1057" s="1"/>
      <x:c r="X1057" s="1"/>
      <x:c r="Y1057" s="1"/>
      <x:c r="Z1057" s="1"/>
    </x:row>
    <x:row r="1058">
      <x:c r="A1058" s="1"/>
      <x:c r="B1058" s="1"/>
      <x:c r="C1058" s="1"/>
      <x:c r="D1058" s="1"/>
      <x:c r="E1058" s="1"/>
      <x:c r="F1058" s="1"/>
      <x:c r="G1058" s="1"/>
      <x:c r="H1058" s="1"/>
      <x:c r="I1058" s="1"/>
      <x:c r="J1058" s="1"/>
      <x:c r="K1058" s="1"/>
      <x:c r="L1058" s="1"/>
      <x:c r="M1058" s="1"/>
      <x:c r="N1058" s="1"/>
      <x:c r="O1058" s="1"/>
      <x:c r="P1058" s="1"/>
      <x:c r="Q1058" s="1"/>
      <x:c r="R1058" s="1"/>
      <x:c r="S1058" s="1"/>
      <x:c r="T1058" s="1"/>
      <x:c r="U1058" s="1"/>
      <x:c r="V1058" s="1"/>
      <x:c r="W1058" s="1"/>
      <x:c r="X1058" s="1"/>
      <x:c r="Y1058" s="1"/>
      <x:c r="Z1058" s="1"/>
    </x:row>
    <x:row r="1059">
      <x:c r="A1059" s="1"/>
      <x:c r="B1059" s="1"/>
      <x:c r="C1059" s="1"/>
      <x:c r="D1059" s="1"/>
      <x:c r="E1059" s="1"/>
      <x:c r="F1059" s="1"/>
      <x:c r="G1059" s="1"/>
      <x:c r="H1059" s="1"/>
      <x:c r="I1059" s="1"/>
      <x:c r="J1059" s="1"/>
      <x:c r="K1059" s="1"/>
      <x:c r="L1059" s="1"/>
      <x:c r="M1059" s="1"/>
      <x:c r="N1059" s="1"/>
      <x:c r="O1059" s="1"/>
      <x:c r="P1059" s="1"/>
      <x:c r="Q1059" s="1"/>
      <x:c r="R1059" s="1"/>
      <x:c r="S1059" s="1"/>
      <x:c r="T1059" s="1"/>
      <x:c r="U1059" s="1"/>
      <x:c r="V1059" s="1"/>
      <x:c r="W1059" s="1"/>
      <x:c r="X1059" s="1"/>
      <x:c r="Y1059" s="1"/>
      <x:c r="Z1059" s="1"/>
    </x:row>
    <x:row r="1060">
      <x:c r="A1060" s="1"/>
      <x:c r="B1060" s="1"/>
      <x:c r="C1060" s="1"/>
      <x:c r="D1060" s="1"/>
      <x:c r="E1060" s="1"/>
      <x:c r="F1060" s="1"/>
      <x:c r="G1060" s="1"/>
      <x:c r="H1060" s="1"/>
      <x:c r="I1060" s="1"/>
      <x:c r="J1060" s="1"/>
      <x:c r="K1060" s="1"/>
      <x:c r="L1060" s="1"/>
      <x:c r="M1060" s="1"/>
      <x:c r="N1060" s="1"/>
      <x:c r="O1060" s="1"/>
      <x:c r="P1060" s="1"/>
      <x:c r="Q1060" s="1"/>
      <x:c r="R1060" s="1"/>
      <x:c r="S1060" s="1"/>
      <x:c r="T1060" s="1"/>
      <x:c r="U1060" s="1"/>
      <x:c r="V1060" s="1"/>
      <x:c r="W1060" s="1"/>
      <x:c r="X1060" s="1"/>
      <x:c r="Y1060" s="1"/>
      <x:c r="Z1060" s="1"/>
    </x:row>
    <x:row r="1061">
      <x:c r="A1061" s="1"/>
      <x:c r="B1061" s="1"/>
      <x:c r="C1061" s="1"/>
      <x:c r="D1061" s="1"/>
      <x:c r="E1061" s="1"/>
      <x:c r="F1061" s="1"/>
      <x:c r="G1061" s="1"/>
      <x:c r="H1061" s="1"/>
      <x:c r="I1061" s="1"/>
      <x:c r="J1061" s="1"/>
      <x:c r="K1061" s="1"/>
      <x:c r="L1061" s="1"/>
      <x:c r="M1061" s="1"/>
      <x:c r="N1061" s="1"/>
      <x:c r="O1061" s="1"/>
      <x:c r="P1061" s="1"/>
      <x:c r="Q1061" s="1"/>
      <x:c r="R1061" s="1"/>
      <x:c r="S1061" s="1"/>
      <x:c r="T1061" s="1"/>
      <x:c r="U1061" s="1"/>
      <x:c r="V1061" s="1"/>
      <x:c r="W1061" s="1"/>
      <x:c r="X1061" s="1"/>
      <x:c r="Y1061" s="1"/>
      <x:c r="Z1061" s="1"/>
    </x:row>
    <x:row r="1062">
      <x:c r="A1062" s="1"/>
      <x:c r="B1062" s="1"/>
      <x:c r="C1062" s="1"/>
      <x:c r="D1062" s="1"/>
      <x:c r="E1062" s="1"/>
      <x:c r="F1062" s="1"/>
      <x:c r="G1062" s="1"/>
      <x:c r="H1062" s="1"/>
      <x:c r="I1062" s="1"/>
      <x:c r="J1062" s="1"/>
      <x:c r="K1062" s="1"/>
      <x:c r="L1062" s="1"/>
      <x:c r="M1062" s="1"/>
      <x:c r="N1062" s="1"/>
      <x:c r="O1062" s="1"/>
      <x:c r="P1062" s="1"/>
      <x:c r="Q1062" s="1"/>
      <x:c r="R1062" s="1"/>
      <x:c r="S1062" s="1"/>
      <x:c r="T1062" s="1"/>
      <x:c r="U1062" s="1"/>
      <x:c r="V1062" s="1"/>
      <x:c r="W1062" s="1"/>
      <x:c r="X1062" s="1"/>
      <x:c r="Y1062" s="1"/>
      <x:c r="Z1062" s="1"/>
    </x:row>
    <x:row r="1063">
      <x:c r="A1063" s="1"/>
      <x:c r="B1063" s="1"/>
      <x:c r="C1063" s="1"/>
      <x:c r="D1063" s="1"/>
      <x:c r="E1063" s="1"/>
      <x:c r="F1063" s="1"/>
      <x:c r="G1063" s="1"/>
      <x:c r="H1063" s="1"/>
      <x:c r="I1063" s="1"/>
      <x:c r="J1063" s="1"/>
      <x:c r="K1063" s="1"/>
      <x:c r="L1063" s="1"/>
      <x:c r="M1063" s="1"/>
      <x:c r="N1063" s="1"/>
      <x:c r="O1063" s="1"/>
      <x:c r="P1063" s="1"/>
      <x:c r="Q1063" s="1"/>
      <x:c r="R1063" s="1"/>
      <x:c r="S1063" s="1"/>
      <x:c r="T1063" s="1"/>
      <x:c r="U1063" s="1"/>
      <x:c r="V1063" s="1"/>
      <x:c r="W1063" s="1"/>
      <x:c r="X1063" s="1"/>
      <x:c r="Y1063" s="1"/>
      <x:c r="Z1063" s="1"/>
    </x:row>
    <x:row r="1064">
      <x:c r="A1064" s="1"/>
      <x:c r="B1064" s="1"/>
      <x:c r="C1064" s="1"/>
      <x:c r="D1064" s="1"/>
      <x:c r="E1064" s="1"/>
      <x:c r="F1064" s="1"/>
      <x:c r="G1064" s="1"/>
      <x:c r="H1064" s="1"/>
      <x:c r="I1064" s="1"/>
      <x:c r="J1064" s="1"/>
      <x:c r="K1064" s="1"/>
      <x:c r="L1064" s="1"/>
      <x:c r="M1064" s="1"/>
      <x:c r="N1064" s="1"/>
      <x:c r="O1064" s="1"/>
      <x:c r="P1064" s="1"/>
      <x:c r="Q1064" s="1"/>
      <x:c r="R1064" s="1"/>
      <x:c r="S1064" s="1"/>
      <x:c r="T1064" s="1"/>
      <x:c r="U1064" s="1"/>
      <x:c r="V1064" s="1"/>
      <x:c r="W1064" s="1"/>
      <x:c r="X1064" s="1"/>
      <x:c r="Y1064" s="1"/>
      <x:c r="Z1064" s="1"/>
    </x:row>
    <x:row r="1065">
      <x:c r="A1065" s="1"/>
      <x:c r="B1065" s="1"/>
      <x:c r="C1065" s="1"/>
      <x:c r="D1065" s="1"/>
      <x:c r="E1065" s="1"/>
      <x:c r="F1065" s="1"/>
      <x:c r="G1065" s="1"/>
      <x:c r="H1065" s="1"/>
      <x:c r="I1065" s="1"/>
      <x:c r="J1065" s="1"/>
      <x:c r="K1065" s="1"/>
      <x:c r="L1065" s="1"/>
      <x:c r="M1065" s="1"/>
      <x:c r="N1065" s="1"/>
      <x:c r="O1065" s="1"/>
      <x:c r="P1065" s="1"/>
      <x:c r="Q1065" s="1"/>
      <x:c r="R1065" s="1"/>
      <x:c r="S1065" s="1"/>
      <x:c r="T1065" s="1"/>
      <x:c r="U1065" s="1"/>
      <x:c r="V1065" s="1"/>
      <x:c r="W1065" s="1"/>
      <x:c r="X1065" s="1"/>
      <x:c r="Y1065" s="1"/>
      <x:c r="Z1065" s="1"/>
    </x:row>
    <x:row r="1066">
      <x:c r="A1066" s="1"/>
      <x:c r="B1066" s="1"/>
      <x:c r="C1066" s="1"/>
      <x:c r="D1066" s="1"/>
      <x:c r="E1066" s="1"/>
      <x:c r="F1066" s="1"/>
      <x:c r="G1066" s="1"/>
      <x:c r="H1066" s="1"/>
      <x:c r="I1066" s="1"/>
      <x:c r="J1066" s="1"/>
      <x:c r="K1066" s="1"/>
      <x:c r="L1066" s="1"/>
      <x:c r="M1066" s="1"/>
      <x:c r="N1066" s="1"/>
      <x:c r="O1066" s="1"/>
      <x:c r="P1066" s="1"/>
      <x:c r="Q1066" s="1"/>
      <x:c r="R1066" s="1"/>
      <x:c r="S1066" s="1"/>
      <x:c r="T1066" s="1"/>
      <x:c r="U1066" s="1"/>
      <x:c r="V1066" s="1"/>
      <x:c r="W1066" s="1"/>
      <x:c r="X1066" s="1"/>
      <x:c r="Y1066" s="1"/>
      <x:c r="Z1066" s="1"/>
    </x:row>
    <x:row r="1067">
      <x:c r="A1067" s="1"/>
      <x:c r="B1067" s="1"/>
      <x:c r="C1067" s="1"/>
      <x:c r="D1067" s="1"/>
      <x:c r="E1067" s="1"/>
      <x:c r="F1067" s="1"/>
      <x:c r="G1067" s="1"/>
      <x:c r="H1067" s="1"/>
      <x:c r="I1067" s="1"/>
      <x:c r="J1067" s="1"/>
      <x:c r="K1067" s="1"/>
      <x:c r="L1067" s="1"/>
      <x:c r="M1067" s="1"/>
      <x:c r="N1067" s="1"/>
      <x:c r="O1067" s="1"/>
      <x:c r="P1067" s="1"/>
      <x:c r="Q1067" s="1"/>
      <x:c r="R1067" s="1"/>
      <x:c r="S1067" s="1"/>
      <x:c r="T1067" s="1"/>
      <x:c r="U1067" s="1"/>
      <x:c r="V1067" s="1"/>
      <x:c r="W1067" s="1"/>
      <x:c r="X1067" s="1"/>
      <x:c r="Y1067" s="1"/>
      <x:c r="Z1067" s="1"/>
    </x:row>
    <x:row r="1068">
      <x:c r="A1068" s="1"/>
      <x:c r="B1068" s="1"/>
      <x:c r="C1068" s="1"/>
      <x:c r="D1068" s="1"/>
      <x:c r="E1068" s="1"/>
      <x:c r="F1068" s="1"/>
      <x:c r="G1068" s="1"/>
      <x:c r="H1068" s="1"/>
      <x:c r="I1068" s="1"/>
      <x:c r="J1068" s="1"/>
      <x:c r="K1068" s="1"/>
      <x:c r="L1068" s="1"/>
      <x:c r="M1068" s="1"/>
      <x:c r="N1068" s="1"/>
      <x:c r="O1068" s="1"/>
      <x:c r="P1068" s="1"/>
      <x:c r="Q1068" s="1"/>
      <x:c r="R1068" s="1"/>
      <x:c r="S1068" s="1"/>
      <x:c r="T1068" s="1"/>
      <x:c r="U1068" s="1"/>
      <x:c r="V1068" s="1"/>
      <x:c r="W1068" s="1"/>
      <x:c r="X1068" s="1"/>
      <x:c r="Y1068" s="1"/>
      <x:c r="Z1068" s="1"/>
    </x:row>
    <x:row r="1069">
      <x:c r="A1069" s="1"/>
      <x:c r="B1069" s="1"/>
      <x:c r="C1069" s="1"/>
      <x:c r="D1069" s="1"/>
      <x:c r="E1069" s="1"/>
      <x:c r="F1069" s="1"/>
      <x:c r="G1069" s="1"/>
      <x:c r="H1069" s="1"/>
      <x:c r="I1069" s="1"/>
      <x:c r="J1069" s="1"/>
      <x:c r="K1069" s="1"/>
      <x:c r="L1069" s="1"/>
      <x:c r="M1069" s="1"/>
      <x:c r="N1069" s="1"/>
      <x:c r="O1069" s="1"/>
      <x:c r="P1069" s="1"/>
      <x:c r="Q1069" s="1"/>
      <x:c r="R1069" s="1"/>
      <x:c r="S1069" s="1"/>
      <x:c r="T1069" s="1"/>
      <x:c r="U1069" s="1"/>
      <x:c r="V1069" s="1"/>
      <x:c r="W1069" s="1"/>
      <x:c r="X1069" s="1"/>
      <x:c r="Y1069" s="1"/>
      <x:c r="Z1069" s="1"/>
    </x:row>
    <x:row r="1070">
      <x:c r="A1070" s="1"/>
      <x:c r="B1070" s="1"/>
      <x:c r="C1070" s="1"/>
      <x:c r="D1070" s="1"/>
      <x:c r="E1070" s="1"/>
      <x:c r="F1070" s="1"/>
      <x:c r="G1070" s="1"/>
      <x:c r="H1070" s="1"/>
      <x:c r="I1070" s="1"/>
      <x:c r="J1070" s="1"/>
      <x:c r="K1070" s="1"/>
      <x:c r="L1070" s="1"/>
      <x:c r="M1070" s="1"/>
      <x:c r="N1070" s="1"/>
      <x:c r="O1070" s="1"/>
      <x:c r="P1070" s="1"/>
      <x:c r="Q1070" s="1"/>
      <x:c r="R1070" s="1"/>
      <x:c r="S1070" s="1"/>
      <x:c r="T1070" s="1"/>
      <x:c r="U1070" s="1"/>
      <x:c r="V1070" s="1"/>
      <x:c r="W1070" s="1"/>
      <x:c r="X1070" s="1"/>
      <x:c r="Y1070" s="1"/>
      <x:c r="Z1070" s="1"/>
    </x:row>
    <x:row r="1071">
      <x:c r="A1071" s="1"/>
      <x:c r="B1071" s="1"/>
      <x:c r="C1071" s="1"/>
      <x:c r="D1071" s="1"/>
      <x:c r="E1071" s="1"/>
      <x:c r="F1071" s="1"/>
      <x:c r="G1071" s="1"/>
      <x:c r="H1071" s="1"/>
      <x:c r="I1071" s="1"/>
      <x:c r="J1071" s="1"/>
      <x:c r="K1071" s="1"/>
      <x:c r="L1071" s="1"/>
      <x:c r="M1071" s="1"/>
      <x:c r="N1071" s="1"/>
      <x:c r="O1071" s="1"/>
      <x:c r="P1071" s="1"/>
      <x:c r="Q1071" s="1"/>
      <x:c r="R1071" s="1"/>
      <x:c r="S1071" s="1"/>
      <x:c r="T1071" s="1"/>
      <x:c r="U1071" s="1"/>
      <x:c r="V1071" s="1"/>
      <x:c r="W1071" s="1"/>
      <x:c r="X1071" s="1"/>
      <x:c r="Y1071" s="1"/>
      <x:c r="Z1071" s="1"/>
    </x:row>
    <x:row r="1072">
      <x:c r="A1072" s="1"/>
      <x:c r="B1072" s="1"/>
      <x:c r="C1072" s="1"/>
      <x:c r="D1072" s="1"/>
      <x:c r="E1072" s="1"/>
      <x:c r="F1072" s="1"/>
      <x:c r="G1072" s="1"/>
      <x:c r="H1072" s="1"/>
      <x:c r="I1072" s="1"/>
      <x:c r="J1072" s="1"/>
      <x:c r="K1072" s="1"/>
      <x:c r="L1072" s="1"/>
      <x:c r="M1072" s="1"/>
      <x:c r="N1072" s="1"/>
      <x:c r="O1072" s="1"/>
      <x:c r="P1072" s="1"/>
      <x:c r="Q1072" s="1"/>
      <x:c r="R1072" s="1"/>
      <x:c r="S1072" s="1"/>
      <x:c r="T1072" s="1"/>
      <x:c r="U1072" s="1"/>
      <x:c r="V1072" s="1"/>
      <x:c r="W1072" s="1"/>
      <x:c r="X1072" s="1"/>
      <x:c r="Y1072" s="1"/>
      <x:c r="Z1072" s="1"/>
    </x:row>
    <x:row r="1073">
      <x:c r="A1073" s="1"/>
      <x:c r="B1073" s="1"/>
      <x:c r="C1073" s="1"/>
      <x:c r="D1073" s="1"/>
      <x:c r="E1073" s="1"/>
      <x:c r="F1073" s="1"/>
      <x:c r="G1073" s="1"/>
      <x:c r="H1073" s="1"/>
      <x:c r="I1073" s="1"/>
      <x:c r="J1073" s="1"/>
      <x:c r="K1073" s="1"/>
      <x:c r="L1073" s="1"/>
      <x:c r="M1073" s="1"/>
      <x:c r="N1073" s="1"/>
      <x:c r="O1073" s="1"/>
      <x:c r="P1073" s="1"/>
      <x:c r="Q1073" s="1"/>
      <x:c r="R1073" s="1"/>
      <x:c r="S1073" s="1"/>
      <x:c r="T1073" s="1"/>
      <x:c r="U1073" s="1"/>
      <x:c r="V1073" s="1"/>
      <x:c r="W1073" s="1"/>
      <x:c r="X1073" s="1"/>
      <x:c r="Y1073" s="1"/>
      <x:c r="Z1073" s="1"/>
    </x:row>
    <x:row r="1074">
      <x:c r="A1074" s="1"/>
      <x:c r="B1074" s="1"/>
      <x:c r="C1074" s="1"/>
      <x:c r="D1074" s="1"/>
      <x:c r="E1074" s="1"/>
      <x:c r="F1074" s="1"/>
      <x:c r="G1074" s="1"/>
      <x:c r="H1074" s="1"/>
      <x:c r="I1074" s="1"/>
      <x:c r="J1074" s="1"/>
      <x:c r="K1074" s="1"/>
      <x:c r="L1074" s="1"/>
      <x:c r="M1074" s="1"/>
      <x:c r="N1074" s="1"/>
      <x:c r="O1074" s="1"/>
      <x:c r="P1074" s="1"/>
      <x:c r="Q1074" s="1"/>
      <x:c r="R1074" s="1"/>
      <x:c r="S1074" s="1"/>
      <x:c r="T1074" s="1"/>
      <x:c r="U1074" s="1"/>
      <x:c r="V1074" s="1"/>
      <x:c r="W1074" s="1"/>
      <x:c r="X1074" s="1"/>
      <x:c r="Y1074" s="1"/>
      <x:c r="Z1074" s="1"/>
    </x:row>
    <x:row r="1075">
      <x:c r="A1075" s="1"/>
      <x:c r="B1075" s="1"/>
      <x:c r="C1075" s="1"/>
      <x:c r="D1075" s="1"/>
      <x:c r="E1075" s="1"/>
      <x:c r="F1075" s="1"/>
      <x:c r="G1075" s="1"/>
      <x:c r="H1075" s="1"/>
      <x:c r="I1075" s="1"/>
      <x:c r="J1075" s="1"/>
      <x:c r="K1075" s="1"/>
      <x:c r="L1075" s="1"/>
      <x:c r="M1075" s="1"/>
      <x:c r="N1075" s="1"/>
      <x:c r="O1075" s="1"/>
      <x:c r="P1075" s="1"/>
      <x:c r="Q1075" s="1"/>
      <x:c r="R1075" s="1"/>
      <x:c r="S1075" s="1"/>
      <x:c r="T1075" s="1"/>
      <x:c r="U1075" s="1"/>
      <x:c r="V1075" s="1"/>
      <x:c r="W1075" s="1"/>
      <x:c r="X1075" s="1"/>
      <x:c r="Y1075" s="1"/>
      <x:c r="Z1075" s="1"/>
    </x:row>
    <x:row r="1076">
      <x:c r="A1076" s="1"/>
      <x:c r="B1076" s="1"/>
      <x:c r="C1076" s="1"/>
      <x:c r="D1076" s="1"/>
      <x:c r="E1076" s="1"/>
      <x:c r="F1076" s="1"/>
      <x:c r="G1076" s="1"/>
      <x:c r="H1076" s="1"/>
      <x:c r="I1076" s="1"/>
      <x:c r="J1076" s="1"/>
      <x:c r="K1076" s="1"/>
      <x:c r="L1076" s="1"/>
      <x:c r="M1076" s="1"/>
      <x:c r="N1076" s="1"/>
      <x:c r="O1076" s="1"/>
      <x:c r="P1076" s="1"/>
      <x:c r="Q1076" s="1"/>
      <x:c r="R1076" s="1"/>
      <x:c r="S1076" s="1"/>
      <x:c r="T1076" s="1"/>
      <x:c r="U1076" s="1"/>
      <x:c r="V1076" s="1"/>
      <x:c r="W1076" s="1"/>
      <x:c r="X1076" s="1"/>
      <x:c r="Y1076" s="1"/>
      <x:c r="Z1076" s="1"/>
    </x:row>
    <x:row r="1077">
      <x:c r="A1077" s="1"/>
      <x:c r="B1077" s="1"/>
      <x:c r="C1077" s="1"/>
      <x:c r="D1077" s="1"/>
      <x:c r="E1077" s="1"/>
      <x:c r="F1077" s="1"/>
      <x:c r="G1077" s="1"/>
      <x:c r="H1077" s="1"/>
      <x:c r="I1077" s="1"/>
      <x:c r="J1077" s="1"/>
      <x:c r="K1077" s="1"/>
      <x:c r="L1077" s="1"/>
      <x:c r="M1077" s="1"/>
      <x:c r="N1077" s="1"/>
      <x:c r="O1077" s="1"/>
      <x:c r="P1077" s="1"/>
      <x:c r="Q1077" s="1"/>
      <x:c r="R1077" s="1"/>
      <x:c r="S1077" s="1"/>
      <x:c r="T1077" s="1"/>
      <x:c r="U1077" s="1"/>
      <x:c r="V1077" s="1"/>
      <x:c r="W1077" s="1"/>
      <x:c r="X1077" s="1"/>
      <x:c r="Y1077" s="1"/>
      <x:c r="Z1077" s="1"/>
    </x:row>
    <x:row r="1078">
      <x:c r="A1078" s="1"/>
      <x:c r="B1078" s="1"/>
      <x:c r="C1078" s="1"/>
      <x:c r="D1078" s="1"/>
      <x:c r="E1078" s="1"/>
      <x:c r="F1078" s="1"/>
      <x:c r="G1078" s="1"/>
      <x:c r="H1078" s="1"/>
      <x:c r="I1078" s="1"/>
      <x:c r="J1078" s="1"/>
      <x:c r="K1078" s="1"/>
      <x:c r="L1078" s="1"/>
      <x:c r="M1078" s="1"/>
      <x:c r="N1078" s="1"/>
      <x:c r="O1078" s="1"/>
      <x:c r="P1078" s="1"/>
      <x:c r="Q1078" s="1"/>
      <x:c r="R1078" s="1"/>
      <x:c r="S1078" s="1"/>
      <x:c r="T1078" s="1"/>
      <x:c r="U1078" s="1"/>
      <x:c r="V1078" s="1"/>
      <x:c r="W1078" s="1"/>
      <x:c r="X1078" s="1"/>
      <x:c r="Y1078" s="1"/>
      <x:c r="Z1078" s="1"/>
    </x:row>
    <x:row r="1079">
      <x:c r="A1079" s="1"/>
      <x:c r="B1079" s="1"/>
      <x:c r="C1079" s="1"/>
      <x:c r="D1079" s="1"/>
      <x:c r="E1079" s="1"/>
      <x:c r="F1079" s="1"/>
      <x:c r="G1079" s="1"/>
      <x:c r="H1079" s="1"/>
      <x:c r="I1079" s="1"/>
      <x:c r="J1079" s="1"/>
      <x:c r="K1079" s="1"/>
      <x:c r="L1079" s="1"/>
      <x:c r="M1079" s="1"/>
      <x:c r="N1079" s="1"/>
      <x:c r="O1079" s="1"/>
      <x:c r="P1079" s="1"/>
      <x:c r="Q1079" s="1"/>
      <x:c r="R1079" s="1"/>
      <x:c r="S1079" s="1"/>
      <x:c r="T1079" s="1"/>
      <x:c r="U1079" s="1"/>
      <x:c r="V1079" s="1"/>
      <x:c r="W1079" s="1"/>
      <x:c r="X1079" s="1"/>
      <x:c r="Y1079" s="1"/>
      <x:c r="Z1079" s="1"/>
    </x:row>
    <x:row r="1080">
      <x:c r="A1080" s="1"/>
      <x:c r="B1080" s="1"/>
      <x:c r="C1080" s="1"/>
      <x:c r="D1080" s="1"/>
      <x:c r="E1080" s="1"/>
      <x:c r="F1080" s="1"/>
      <x:c r="G1080" s="1"/>
      <x:c r="H1080" s="1"/>
      <x:c r="I1080" s="1"/>
      <x:c r="J1080" s="1"/>
      <x:c r="K1080" s="1"/>
      <x:c r="L1080" s="1"/>
      <x:c r="M1080" s="1"/>
      <x:c r="N1080" s="1"/>
      <x:c r="O1080" s="1"/>
      <x:c r="P1080" s="1"/>
      <x:c r="Q1080" s="1"/>
      <x:c r="R1080" s="1"/>
      <x:c r="S1080" s="1"/>
      <x:c r="T1080" s="1"/>
      <x:c r="U1080" s="1"/>
      <x:c r="V1080" s="1"/>
      <x:c r="W1080" s="1"/>
      <x:c r="X1080" s="1"/>
      <x:c r="Y1080" s="1"/>
      <x:c r="Z1080" s="1"/>
    </x:row>
    <x:row r="1081">
      <x:c r="A1081" s="1"/>
      <x:c r="B1081" s="1"/>
      <x:c r="C1081" s="1"/>
      <x:c r="D1081" s="1"/>
      <x:c r="E1081" s="1"/>
      <x:c r="F1081" s="1"/>
      <x:c r="G1081" s="1"/>
      <x:c r="H1081" s="1"/>
      <x:c r="I1081" s="1"/>
      <x:c r="J1081" s="1"/>
      <x:c r="K1081" s="1"/>
      <x:c r="L1081" s="1"/>
      <x:c r="M1081" s="1"/>
      <x:c r="N1081" s="1"/>
      <x:c r="O1081" s="1"/>
      <x:c r="P1081" s="1"/>
      <x:c r="Q1081" s="1"/>
      <x:c r="R1081" s="1"/>
      <x:c r="S1081" s="1"/>
      <x:c r="T1081" s="1"/>
      <x:c r="U1081" s="1"/>
      <x:c r="V1081" s="1"/>
      <x:c r="W1081" s="1"/>
      <x:c r="X1081" s="1"/>
      <x:c r="Y1081" s="1"/>
      <x:c r="Z1081" s="1"/>
    </x:row>
    <x:row r="1082">
      <x:c r="A1082" s="1"/>
      <x:c r="B1082" s="1"/>
      <x:c r="C1082" s="1"/>
      <x:c r="D1082" s="1"/>
      <x:c r="E1082" s="1"/>
      <x:c r="F1082" s="1"/>
      <x:c r="G1082" s="1"/>
      <x:c r="H1082" s="1"/>
      <x:c r="I1082" s="1"/>
      <x:c r="J1082" s="1"/>
      <x:c r="K1082" s="1"/>
      <x:c r="L1082" s="1"/>
      <x:c r="M1082" s="1"/>
      <x:c r="N1082" s="1"/>
      <x:c r="O1082" s="1"/>
      <x:c r="P1082" s="1"/>
      <x:c r="Q1082" s="1"/>
      <x:c r="R1082" s="1"/>
      <x:c r="S1082" s="1"/>
      <x:c r="T1082" s="1"/>
      <x:c r="U1082" s="1"/>
      <x:c r="V1082" s="1"/>
      <x:c r="W1082" s="1"/>
      <x:c r="X1082" s="1"/>
      <x:c r="Y1082" s="1"/>
      <x:c r="Z1082" s="1"/>
    </x:row>
    <x:row r="1083">
      <x:c r="A1083" s="1"/>
      <x:c r="B1083" s="1"/>
      <x:c r="C1083" s="1"/>
      <x:c r="D1083" s="1"/>
      <x:c r="E1083" s="1"/>
      <x:c r="F1083" s="1"/>
      <x:c r="G1083" s="1"/>
      <x:c r="H1083" s="1"/>
      <x:c r="I1083" s="1"/>
      <x:c r="J1083" s="1"/>
      <x:c r="K1083" s="1"/>
      <x:c r="L1083" s="1"/>
      <x:c r="M1083" s="1"/>
      <x:c r="N1083" s="1"/>
      <x:c r="O1083" s="1"/>
      <x:c r="P1083" s="1"/>
      <x:c r="Q1083" s="1"/>
      <x:c r="R1083" s="1"/>
      <x:c r="S1083" s="1"/>
      <x:c r="T1083" s="1"/>
      <x:c r="U1083" s="1"/>
      <x:c r="V1083" s="1"/>
      <x:c r="W1083" s="1"/>
      <x:c r="X1083" s="1"/>
      <x:c r="Y1083" s="1"/>
      <x:c r="Z1083" s="1"/>
    </x:row>
    <x:row r="1084">
      <x:c r="A1084" s="1"/>
      <x:c r="B1084" s="1"/>
      <x:c r="C1084" s="1"/>
      <x:c r="D1084" s="1"/>
      <x:c r="E1084" s="1"/>
      <x:c r="F1084" s="1"/>
      <x:c r="G1084" s="1"/>
      <x:c r="H1084" s="1"/>
      <x:c r="I1084" s="1"/>
      <x:c r="J1084" s="1"/>
      <x:c r="K1084" s="1"/>
      <x:c r="L1084" s="1"/>
      <x:c r="M1084" s="1"/>
      <x:c r="N1084" s="1"/>
      <x:c r="O1084" s="1"/>
      <x:c r="P1084" s="1"/>
      <x:c r="Q1084" s="1"/>
      <x:c r="R1084" s="1"/>
      <x:c r="S1084" s="1"/>
      <x:c r="T1084" s="1"/>
      <x:c r="U1084" s="1"/>
      <x:c r="V1084" s="1"/>
      <x:c r="W1084" s="1"/>
      <x:c r="X1084" s="1"/>
      <x:c r="Y1084" s="1"/>
      <x:c r="Z1084" s="1"/>
    </x:row>
    <x:row r="1085">
      <x:c r="A1085" s="1"/>
      <x:c r="B1085" s="1"/>
      <x:c r="C1085" s="1"/>
      <x:c r="D1085" s="1"/>
      <x:c r="E1085" s="1"/>
      <x:c r="F1085" s="1"/>
      <x:c r="G1085" s="1"/>
      <x:c r="H1085" s="1"/>
      <x:c r="I1085" s="1"/>
      <x:c r="J1085" s="1"/>
      <x:c r="K1085" s="1"/>
      <x:c r="L1085" s="1"/>
      <x:c r="M1085" s="1"/>
      <x:c r="N1085" s="1"/>
      <x:c r="O1085" s="1"/>
      <x:c r="P1085" s="1"/>
      <x:c r="Q1085" s="1"/>
      <x:c r="R1085" s="1"/>
      <x:c r="S1085" s="1"/>
      <x:c r="T1085" s="1"/>
      <x:c r="U1085" s="1"/>
      <x:c r="V1085" s="1"/>
      <x:c r="W1085" s="1"/>
      <x:c r="X1085" s="1"/>
      <x:c r="Y1085" s="1"/>
      <x:c r="Z1085" s="1"/>
    </x:row>
    <x:row r="1086">
      <x:c r="A1086" s="1"/>
      <x:c r="B1086" s="1"/>
      <x:c r="C1086" s="1"/>
      <x:c r="D1086" s="1"/>
      <x:c r="E1086" s="1"/>
      <x:c r="F1086" s="1"/>
      <x:c r="G1086" s="1"/>
      <x:c r="H1086" s="1"/>
      <x:c r="I1086" s="1"/>
      <x:c r="J1086" s="1"/>
      <x:c r="K1086" s="1"/>
      <x:c r="L1086" s="1"/>
      <x:c r="M1086" s="1"/>
      <x:c r="N1086" s="1"/>
      <x:c r="O1086" s="1"/>
      <x:c r="P1086" s="1"/>
      <x:c r="Q1086" s="1"/>
      <x:c r="R1086" s="1"/>
      <x:c r="S1086" s="1"/>
      <x:c r="T1086" s="1"/>
      <x:c r="U1086" s="1"/>
      <x:c r="V1086" s="1"/>
      <x:c r="W1086" s="1"/>
      <x:c r="X1086" s="1"/>
      <x:c r="Y1086" s="1"/>
      <x:c r="Z1086" s="1"/>
    </x:row>
    <x:row r="1087">
      <x:c r="A1087" s="1"/>
      <x:c r="B1087" s="1"/>
      <x:c r="C1087" s="1"/>
      <x:c r="D1087" s="1"/>
      <x:c r="E1087" s="1"/>
      <x:c r="F1087" s="1"/>
      <x:c r="G1087" s="1"/>
      <x:c r="H1087" s="1"/>
      <x:c r="I1087" s="1"/>
      <x:c r="J1087" s="1"/>
      <x:c r="K1087" s="1"/>
      <x:c r="L1087" s="1"/>
      <x:c r="M1087" s="1"/>
      <x:c r="N1087" s="1"/>
      <x:c r="O1087" s="1"/>
      <x:c r="P1087" s="1"/>
      <x:c r="Q1087" s="1"/>
      <x:c r="R1087" s="1"/>
      <x:c r="S1087" s="1"/>
      <x:c r="T1087" s="1"/>
      <x:c r="U1087" s="1"/>
      <x:c r="V1087" s="1"/>
      <x:c r="W1087" s="1"/>
      <x:c r="X1087" s="1"/>
      <x:c r="Y1087" s="1"/>
      <x:c r="Z1087" s="1"/>
    </x:row>
    <x:row r="1088">
      <x:c r="A1088" s="1"/>
      <x:c r="B1088" s="1"/>
      <x:c r="C1088" s="1"/>
      <x:c r="D1088" s="1"/>
      <x:c r="E1088" s="1"/>
      <x:c r="F1088" s="1"/>
      <x:c r="G1088" s="1"/>
      <x:c r="H1088" s="1"/>
      <x:c r="I1088" s="1"/>
      <x:c r="J1088" s="1"/>
      <x:c r="K1088" s="1"/>
      <x:c r="L1088" s="1"/>
      <x:c r="M1088" s="1"/>
      <x:c r="N1088" s="1"/>
      <x:c r="O1088" s="1"/>
      <x:c r="P1088" s="1"/>
      <x:c r="Q1088" s="1"/>
      <x:c r="R1088" s="1"/>
      <x:c r="S1088" s="1"/>
      <x:c r="T1088" s="1"/>
      <x:c r="U1088" s="1"/>
      <x:c r="V1088" s="1"/>
      <x:c r="W1088" s="1"/>
      <x:c r="X1088" s="1"/>
      <x:c r="Y1088" s="1"/>
      <x:c r="Z1088" s="1"/>
    </x:row>
    <x:row r="1089">
      <x:c r="A1089" s="1"/>
      <x:c r="B1089" s="1"/>
      <x:c r="C1089" s="1"/>
      <x:c r="D1089" s="1"/>
      <x:c r="E1089" s="1"/>
      <x:c r="F1089" s="1"/>
      <x:c r="G1089" s="1"/>
      <x:c r="H1089" s="1"/>
      <x:c r="I1089" s="1"/>
      <x:c r="J1089" s="1"/>
      <x:c r="K1089" s="1"/>
      <x:c r="L1089" s="1"/>
      <x:c r="M1089" s="1"/>
      <x:c r="N1089" s="1"/>
      <x:c r="O1089" s="1"/>
      <x:c r="P1089" s="1"/>
      <x:c r="Q1089" s="1"/>
      <x:c r="R1089" s="1"/>
      <x:c r="S1089" s="1"/>
      <x:c r="T1089" s="1"/>
      <x:c r="U1089" s="1"/>
      <x:c r="V1089" s="1"/>
      <x:c r="W1089" s="1"/>
      <x:c r="X1089" s="1"/>
      <x:c r="Y1089" s="1"/>
      <x:c r="Z1089" s="1"/>
    </x:row>
    <x:row r="1090">
      <x:c r="A1090" s="1"/>
      <x:c r="B1090" s="1"/>
      <x:c r="C1090" s="1"/>
      <x:c r="D1090" s="1"/>
      <x:c r="E1090" s="1"/>
      <x:c r="F1090" s="1"/>
      <x:c r="G1090" s="1"/>
      <x:c r="H1090" s="1"/>
      <x:c r="I1090" s="1"/>
      <x:c r="J1090" s="1"/>
      <x:c r="K1090" s="1"/>
      <x:c r="L1090" s="1"/>
      <x:c r="M1090" s="1"/>
      <x:c r="N1090" s="1"/>
      <x:c r="O1090" s="1"/>
      <x:c r="P1090" s="1"/>
      <x:c r="Q1090" s="1"/>
      <x:c r="R1090" s="1"/>
      <x:c r="S1090" s="1"/>
      <x:c r="T1090" s="1"/>
      <x:c r="U1090" s="1"/>
      <x:c r="V1090" s="1"/>
      <x:c r="W1090" s="1"/>
      <x:c r="X1090" s="1"/>
      <x:c r="Y1090" s="1"/>
      <x:c r="Z1090" s="1"/>
    </x:row>
    <x:row r="1091">
      <x:c r="A1091" s="1"/>
      <x:c r="B1091" s="1"/>
      <x:c r="C1091" s="1"/>
      <x:c r="D1091" s="1"/>
      <x:c r="E1091" s="1"/>
      <x:c r="F1091" s="1"/>
      <x:c r="G1091" s="1"/>
      <x:c r="H1091" s="1"/>
      <x:c r="I1091" s="1"/>
      <x:c r="J1091" s="1"/>
      <x:c r="K1091" s="1"/>
      <x:c r="L1091" s="1"/>
      <x:c r="M1091" s="1"/>
      <x:c r="N1091" s="1"/>
      <x:c r="O1091" s="1"/>
      <x:c r="P1091" s="1"/>
      <x:c r="Q1091" s="1"/>
      <x:c r="R1091" s="1"/>
      <x:c r="S1091" s="1"/>
      <x:c r="T1091" s="1"/>
      <x:c r="U1091" s="1"/>
      <x:c r="V1091" s="1"/>
      <x:c r="W1091" s="1"/>
      <x:c r="X1091" s="1"/>
      <x:c r="Y1091" s="1"/>
      <x:c r="Z1091" s="1"/>
    </x:row>
    <x:row r="1092">
      <x:c r="A1092" s="1"/>
      <x:c r="B1092" s="1"/>
      <x:c r="C1092" s="1"/>
      <x:c r="D1092" s="1"/>
      <x:c r="E1092" s="1"/>
      <x:c r="F1092" s="1"/>
      <x:c r="G1092" s="1"/>
      <x:c r="H1092" s="1"/>
      <x:c r="I1092" s="1"/>
      <x:c r="J1092" s="1"/>
      <x:c r="K1092" s="1"/>
      <x:c r="L1092" s="1"/>
      <x:c r="M1092" s="1"/>
      <x:c r="N1092" s="1"/>
      <x:c r="O1092" s="1"/>
      <x:c r="P1092" s="1"/>
      <x:c r="Q1092" s="1"/>
      <x:c r="R1092" s="1"/>
      <x:c r="S1092" s="1"/>
      <x:c r="T1092" s="1"/>
      <x:c r="U1092" s="1"/>
      <x:c r="V1092" s="1"/>
      <x:c r="W1092" s="1"/>
      <x:c r="X1092" s="1"/>
      <x:c r="Y1092" s="1"/>
      <x:c r="Z1092" s="1"/>
    </x:row>
    <x:row r="1093">
      <x:c r="A1093" s="1"/>
      <x:c r="B1093" s="1"/>
      <x:c r="C1093" s="1"/>
      <x:c r="D1093" s="1"/>
      <x:c r="E1093" s="1"/>
      <x:c r="F1093" s="1"/>
      <x:c r="G1093" s="1"/>
      <x:c r="H1093" s="1"/>
      <x:c r="I1093" s="1"/>
      <x:c r="J1093" s="1"/>
      <x:c r="K1093" s="1"/>
      <x:c r="L1093" s="1"/>
      <x:c r="M1093" s="1"/>
      <x:c r="N1093" s="1"/>
      <x:c r="O1093" s="1"/>
      <x:c r="P1093" s="1"/>
      <x:c r="Q1093" s="1"/>
      <x:c r="R1093" s="1"/>
      <x:c r="S1093" s="1"/>
      <x:c r="T1093" s="1"/>
      <x:c r="U1093" s="1"/>
      <x:c r="V1093" s="1"/>
      <x:c r="W1093" s="1"/>
      <x:c r="X1093" s="1"/>
      <x:c r="Y1093" s="1"/>
      <x:c r="Z1093" s="1"/>
    </x:row>
    <x:row r="1094">
      <x:c r="A1094" s="1"/>
      <x:c r="B1094" s="1"/>
      <x:c r="C1094" s="1"/>
      <x:c r="D1094" s="1"/>
      <x:c r="E1094" s="1"/>
      <x:c r="F1094" s="1"/>
      <x:c r="G1094" s="1"/>
      <x:c r="H1094" s="1"/>
      <x:c r="I1094" s="1"/>
      <x:c r="J1094" s="1"/>
      <x:c r="K1094" s="1"/>
      <x:c r="L1094" s="1"/>
      <x:c r="M1094" s="1"/>
      <x:c r="N1094" s="1"/>
      <x:c r="O1094" s="1"/>
      <x:c r="P1094" s="1"/>
      <x:c r="Q1094" s="1"/>
      <x:c r="R1094" s="1"/>
      <x:c r="S1094" s="1"/>
      <x:c r="T1094" s="1"/>
      <x:c r="U1094" s="1"/>
      <x:c r="V1094" s="1"/>
      <x:c r="W1094" s="1"/>
      <x:c r="X1094" s="1"/>
      <x:c r="Y1094" s="1"/>
      <x:c r="Z1094" s="1"/>
    </x:row>
    <x:row r="1095">
      <x:c r="A1095" s="1"/>
      <x:c r="B1095" s="1"/>
      <x:c r="C1095" s="1"/>
      <x:c r="D1095" s="1"/>
      <x:c r="E1095" s="1"/>
      <x:c r="F1095" s="1"/>
      <x:c r="G1095" s="1"/>
      <x:c r="H1095" s="1"/>
      <x:c r="I1095" s="1"/>
      <x:c r="J1095" s="1"/>
      <x:c r="K1095" s="1"/>
      <x:c r="L1095" s="1"/>
      <x:c r="M1095" s="1"/>
      <x:c r="N1095" s="1"/>
      <x:c r="O1095" s="1"/>
      <x:c r="P1095" s="1"/>
      <x:c r="Q1095" s="1"/>
      <x:c r="R1095" s="1"/>
      <x:c r="S1095" s="1"/>
      <x:c r="T1095" s="1"/>
      <x:c r="U1095" s="1"/>
      <x:c r="V1095" s="1"/>
      <x:c r="W1095" s="1"/>
      <x:c r="X1095" s="1"/>
      <x:c r="Y1095" s="1"/>
      <x:c r="Z1095" s="1"/>
    </x:row>
    <x:row r="1096">
      <x:c r="A1096" s="1"/>
      <x:c r="B1096" s="1"/>
      <x:c r="C1096" s="1"/>
      <x:c r="D1096" s="1"/>
      <x:c r="E1096" s="1"/>
      <x:c r="F1096" s="1"/>
      <x:c r="G1096" s="1"/>
      <x:c r="H1096" s="1"/>
      <x:c r="I1096" s="1"/>
      <x:c r="J1096" s="1"/>
      <x:c r="K1096" s="1"/>
      <x:c r="L1096" s="1"/>
      <x:c r="M1096" s="1"/>
      <x:c r="N1096" s="1"/>
      <x:c r="O1096" s="1"/>
      <x:c r="P1096" s="1"/>
      <x:c r="Q1096" s="1"/>
      <x:c r="R1096" s="1"/>
      <x:c r="S1096" s="1"/>
      <x:c r="T1096" s="1"/>
      <x:c r="U1096" s="1"/>
      <x:c r="V1096" s="1"/>
      <x:c r="W1096" s="1"/>
      <x:c r="X1096" s="1"/>
      <x:c r="Y1096" s="1"/>
      <x:c r="Z1096" s="1"/>
    </x:row>
    <x:row r="1097">
      <x:c r="A1097" s="1"/>
      <x:c r="B1097" s="1"/>
      <x:c r="C1097" s="1"/>
      <x:c r="D1097" s="1"/>
      <x:c r="E1097" s="1"/>
      <x:c r="F1097" s="1"/>
      <x:c r="G1097" s="1"/>
      <x:c r="H1097" s="1"/>
      <x:c r="I1097" s="1"/>
      <x:c r="J1097" s="1"/>
      <x:c r="K1097" s="1"/>
      <x:c r="L1097" s="1"/>
      <x:c r="M1097" s="1"/>
      <x:c r="N1097" s="1"/>
      <x:c r="O1097" s="1"/>
      <x:c r="P1097" s="1"/>
      <x:c r="Q1097" s="1"/>
      <x:c r="R1097" s="1"/>
      <x:c r="S1097" s="1"/>
      <x:c r="T1097" s="1"/>
      <x:c r="U1097" s="1"/>
      <x:c r="V1097" s="1"/>
      <x:c r="W1097" s="1"/>
      <x:c r="X1097" s="1"/>
      <x:c r="Y1097" s="1"/>
      <x:c r="Z1097" s="1"/>
    </x:row>
    <x:row r="1098">
      <x:c r="A1098" s="1"/>
      <x:c r="B1098" s="1"/>
      <x:c r="C1098" s="1"/>
      <x:c r="D1098" s="1"/>
      <x:c r="E1098" s="1"/>
      <x:c r="F1098" s="1"/>
      <x:c r="G1098" s="1"/>
      <x:c r="H1098" s="1"/>
      <x:c r="I1098" s="1"/>
      <x:c r="J1098" s="1"/>
      <x:c r="K1098" s="1"/>
      <x:c r="L1098" s="1"/>
      <x:c r="M1098" s="1"/>
      <x:c r="N1098" s="1"/>
      <x:c r="O1098" s="1"/>
      <x:c r="P1098" s="1"/>
      <x:c r="Q1098" s="1"/>
      <x:c r="R1098" s="1"/>
      <x:c r="S1098" s="1"/>
      <x:c r="T1098" s="1"/>
      <x:c r="U1098" s="1"/>
      <x:c r="V1098" s="1"/>
      <x:c r="W1098" s="1"/>
      <x:c r="X1098" s="1"/>
      <x:c r="Y1098" s="1"/>
      <x:c r="Z1098" s="1"/>
    </x:row>
    <x:row r="1099">
      <x:c r="A1099" s="1"/>
      <x:c r="B1099" s="1"/>
      <x:c r="C1099" s="1"/>
      <x:c r="D1099" s="1"/>
      <x:c r="E1099" s="1"/>
      <x:c r="F1099" s="1"/>
      <x:c r="G1099" s="1"/>
      <x:c r="H1099" s="1"/>
      <x:c r="I1099" s="1"/>
      <x:c r="J1099" s="1"/>
      <x:c r="K1099" s="1"/>
      <x:c r="L1099" s="1"/>
      <x:c r="M1099" s="1"/>
      <x:c r="N1099" s="1"/>
      <x:c r="O1099" s="1"/>
      <x:c r="P1099" s="1"/>
      <x:c r="Q1099" s="1"/>
      <x:c r="R1099" s="1"/>
      <x:c r="S1099" s="1"/>
      <x:c r="T1099" s="1"/>
      <x:c r="U1099" s="1"/>
      <x:c r="V1099" s="1"/>
      <x:c r="W1099" s="1"/>
      <x:c r="X1099" s="1"/>
      <x:c r="Y1099" s="1"/>
      <x:c r="Z1099" s="1"/>
    </x:row>
    <x:row r="1100">
      <x:c r="A1100" s="1"/>
      <x:c r="B1100" s="1"/>
      <x:c r="C1100" s="1"/>
      <x:c r="D1100" s="1"/>
      <x:c r="E1100" s="1"/>
      <x:c r="F1100" s="1"/>
      <x:c r="G1100" s="1"/>
      <x:c r="H1100" s="1"/>
      <x:c r="I1100" s="1"/>
      <x:c r="J1100" s="1"/>
      <x:c r="K1100" s="1"/>
      <x:c r="L1100" s="1"/>
      <x:c r="M1100" s="1"/>
      <x:c r="N1100" s="1"/>
      <x:c r="O1100" s="1"/>
      <x:c r="P1100" s="1"/>
      <x:c r="Q1100" s="1"/>
      <x:c r="R1100" s="1"/>
      <x:c r="S1100" s="1"/>
      <x:c r="T1100" s="1"/>
      <x:c r="U1100" s="1"/>
      <x:c r="V1100" s="1"/>
      <x:c r="W1100" s="1"/>
      <x:c r="X1100" s="1"/>
      <x:c r="Y1100" s="1"/>
      <x:c r="Z1100" s="1"/>
    </x:row>
  </x:sheetData>
  <x:mergeCells>
    <x:mergeCell ref="B2:J2"/>
    <x:mergeCell ref="B3:J3"/>
    <x:mergeCell ref="B6:E6"/>
    <x:mergeCell ref="B7:E7"/>
    <x:mergeCell ref="G6:J6"/>
    <x:mergeCell ref="G7:J7"/>
    <x:mergeCell ref="B19:J19"/>
    <x:mergeCell ref="B20:J20"/>
    <x:mergeCell ref="B32:J32"/>
    <x:mergeCell ref="B33:J33"/>
    <x:mergeCell ref="B62:J62"/>
  </x:mergeCells>
  <x:conditionalFormatting sqref="J63:J66">
    <x:cfRule type="cellIs" dxfId="1" priority="1" operator="not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733C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" hidden="0" customWidth="1"/>
    <x:col min="2" max="2" width="36" hidden="0" customWidth="1"/>
    <x:col min="3" max="3" width="13" hidden="0" customWidth="1"/>
    <x:col min="4" max="4" width="18" hidden="0" customWidth="1"/>
    <x:col min="5" max="5" width="12" hidden="0" customWidth="1"/>
    <x:col min="6" max="6" width="12" hidden="0" customWidth="1"/>
    <x:col min="7" max="7" width="17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32" hidden="0" customWidth="1"/>
    <x:col min="14" max="14" width="16" hidden="0" customWidth="1"/>
    <x:col min="15" max="15" width="48" hidden="0" customWidth="1"/>
    <x:col min="16" max="16" width="3" hidden="0" customWidth="1"/>
    <x:col min="17" max="17" width="27" hidden="0" customWidth="1"/>
    <x:col min="18" max="18" width="1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4" t="str">
        <x:v>Expanded Accounting Equation / Transaction Analysis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1"/>
      <x:c r="Q2" s="18" t="str">
        <x:v>Current Balances</x:v>
      </x:c>
      <x:c r="R2" s="18"/>
      <x:c r="S2" s="1"/>
      <x:c r="T2" s="1"/>
      <x:c r="U2" s="1"/>
      <x:c r="V2" s="1"/>
      <x:c r="W2" s="1"/>
      <x:c r="X2" s="1"/>
      <x:c r="Y2" s="1"/>
      <x:c r="Z2" s="1"/>
    </x:row>
    <x:row r="3">
      <x:c r="A3" s="7" t="str">
        <x:v>Enter one transaction per row. Use signed changes: increases are positive and decreases are negative. Financial statements update automatically.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1"/>
      <x:c r="Q3" s="20" t="str">
        <x:v>Cash</x:v>
      </x:c>
      <x:c r="R3" s="23" t="n">
        <x:f>SUM(C7:C1006)</x:f>
        <x:v>2330</x:v>
      </x:c>
      <x:c r="S3" s="1"/>
      <x:c r="T3" s="1"/>
      <x:c r="U3" s="1"/>
      <x:c r="V3" s="1"/>
      <x:c r="W3" s="1"/>
      <x:c r="X3" s="1"/>
      <x:c r="Y3" s="1"/>
      <x:c r="Z3" s="1"/>
    </x:row>
    <x:row r="4">
      <x:c r="A4" s="7" t="str">
        <x:v>For cash-flow reporting, select a class and enter a consistent detail label. Cash Flow Amount is calculated from Cash.</x:v>
      </x:c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  <x:c r="O4" s="7"/>
      <x:c r="P4" s="1"/>
      <x:c r="Q4" s="21" t="str">
        <x:v>Accounts receivable</x:v>
      </x:c>
      <x:c r="R4" s="24" t="n">
        <x:f>SUM(D7:D1006)</x:f>
        <x:v>0</x:v>
      </x:c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21" t="str">
        <x:v>Furniture</x:v>
      </x:c>
      <x:c r="R5" s="24" t="n">
        <x:f>SUM(E7:E1006)</x:f>
        <x:v>600</x:v>
      </x:c>
      <x:c r="S5" s="1"/>
      <x:c r="T5" s="1"/>
      <x:c r="U5" s="1"/>
      <x:c r="V5" s="1"/>
      <x:c r="W5" s="1"/>
      <x:c r="X5" s="1"/>
      <x:c r="Y5" s="1"/>
      <x:c r="Z5" s="1"/>
    </x:row>
    <x:row r="6" ht="36" customHeight="1">
      <x:c r="A6" s="11" t="str">
        <x:v>ID</x:v>
      </x:c>
      <x:c r="B6" s="11" t="str">
        <x:v>Description</x:v>
      </x:c>
      <x:c r="C6" s="11" t="str">
        <x:v>Cash</x:v>
      </x:c>
      <x:c r="D6" s="11" t="str">
        <x:v>Accounts Receivable</x:v>
      </x:c>
      <x:c r="E6" s="11" t="str">
        <x:v>Furniture</x:v>
      </x:c>
      <x:c r="F6" s="11" t="str">
        <x:v>Equipment</x:v>
      </x:c>
      <x:c r="G6" s="11" t="str">
        <x:v>Accounts Payable</x:v>
      </x:c>
      <x:c r="H6" s="11" t="str">
        <x:v>Common Stock</x:v>
      </x:c>
      <x:c r="I6" s="11" t="str">
        <x:v>Dividends</x:v>
      </x:c>
      <x:c r="J6" s="11" t="str">
        <x:v>Revenue</x:v>
      </x:c>
      <x:c r="K6" s="11" t="str">
        <x:v>Expense</x:v>
      </x:c>
      <x:c r="L6" s="11" t="str">
        <x:v>Cash Flow Class</x:v>
      </x:c>
      <x:c r="M6" s="11" t="str">
        <x:v>Cash Flow Detail</x:v>
      </x:c>
      <x:c r="N6" s="11" t="str">
        <x:v>Cash Flow Amount</x:v>
      </x:c>
      <x:c r="O6" s="11" t="str">
        <x:v>Noncash Disclosure</x:v>
      </x:c>
      <x:c r="P6" s="1"/>
      <x:c r="Q6" s="21" t="str">
        <x:v>Equipment</x:v>
      </x:c>
      <x:c r="R6" s="24" t="n">
        <x:f>SUM(F7:F1006)</x:f>
        <x:v>16200</x:v>
      </x:c>
      <x:c r="S6" s="1"/>
      <x:c r="T6" s="1"/>
      <x:c r="U6" s="1"/>
      <x:c r="V6" s="1"/>
      <x:c r="W6" s="1"/>
      <x:c r="X6" s="1"/>
      <x:c r="Y6" s="1"/>
      <x:c r="Z6" s="1"/>
    </x:row>
    <x:row r="7">
      <x:c r="A7" s="1" t="str">
        <x:v>a1</x:v>
      </x:c>
      <x:c r="B7" s="1" t="str">
        <x:v>Issued common stock for cash</x:v>
      </x:c>
      <x:c r="C7" s="14" t="n">
        <x:v>3000</x:v>
      </x:c>
      <x:c r="D7" s="14" t="n">
        <x:v>0</x:v>
      </x:c>
      <x:c r="E7" s="14" t="n">
        <x:v>0</x:v>
      </x:c>
      <x:c r="F7" s="14" t="n">
        <x:v>0</x:v>
      </x:c>
      <x:c r="G7" s="14" t="n">
        <x:v>0</x:v>
      </x:c>
      <x:c r="H7" s="14" t="n">
        <x:v>3000</x:v>
      </x:c>
      <x:c r="I7" s="14" t="n">
        <x:v>0</x:v>
      </x:c>
      <x:c r="J7" s="14" t="n">
        <x:v>0</x:v>
      </x:c>
      <x:c r="K7" s="14" t="n">
        <x:v>0</x:v>
      </x:c>
      <x:c r="L7" s="12" t="str">
        <x:v>Financing</x:v>
      </x:c>
      <x:c r="M7" s="12" t="str">
        <x:v>Cash investments from shareholders</x:v>
      </x:c>
      <x:c r="N7" s="15" t="n">
        <x:f>IF(OR(L7="Operating",L7="Investing",L7="Financing"),C7,0)</x:f>
        <x:v>3000</x:v>
      </x:c>
      <x:c r="O7" s="12" t="str"/>
      <x:c r="P7" s="1"/>
      <x:c r="Q7" s="21" t="str">
        <x:v>Accounts payable</x:v>
      </x:c>
      <x:c r="R7" s="24" t="n">
        <x:f>SUM(G7:G1006)</x:f>
        <x:v>800</x:v>
      </x:c>
      <x:c r="S7" s="1"/>
      <x:c r="T7" s="1"/>
      <x:c r="U7" s="1"/>
      <x:c r="V7" s="1"/>
      <x:c r="W7" s="1"/>
      <x:c r="X7" s="1"/>
      <x:c r="Y7" s="1"/>
      <x:c r="Z7" s="1"/>
    </x:row>
    <x:row r="8">
      <x:c r="A8" s="1" t="str">
        <x:v>a2</x:v>
      </x:c>
      <x:c r="B8" s="1" t="str">
        <x:v>Acquired equipment by issuing common stock</x:v>
      </x:c>
      <x:c r="C8" s="14" t="n">
        <x:v>0</x:v>
      </x:c>
      <x:c r="D8" s="14" t="n">
        <x:v>0</x:v>
      </x:c>
      <x:c r="E8" s="14" t="n">
        <x:v>0</x:v>
      </x:c>
      <x:c r="F8" s="14" t="n">
        <x:v>15000</x:v>
      </x:c>
      <x:c r="G8" s="14" t="n">
        <x:v>0</x:v>
      </x:c>
      <x:c r="H8" s="14" t="n">
        <x:v>15000</x:v>
      </x:c>
      <x:c r="I8" s="14" t="n">
        <x:v>0</x:v>
      </x:c>
      <x:c r="J8" s="14" t="n">
        <x:v>0</x:v>
      </x:c>
      <x:c r="K8" s="14" t="n">
        <x:v>0</x:v>
      </x:c>
      <x:c r="L8" s="12" t="str">
        <x:v>Noncash</x:v>
      </x:c>
      <x:c r="M8" s="12" t="str">
        <x:v>Equipment acquired by issuing common stock</x:v>
      </x:c>
      <x:c r="N8" s="15" t="n">
        <x:f>IF(OR(L8="Operating",L8="Investing",L8="Financing"),C8,0)</x:f>
        <x:v>0</x:v>
      </x:c>
      <x:c r="O8" s="12" t="str">
        <x:v>Equipment acquired by issuing common stock: $15,000</x:v>
      </x:c>
      <x:c r="P8" s="1"/>
      <x:c r="Q8" s="21" t="str">
        <x:v>Common stock</x:v>
      </x:c>
      <x:c r="R8" s="24" t="n">
        <x:f>SUM(H7:H1006)</x:f>
        <x:v>18000</x:v>
      </x:c>
      <x:c r="S8" s="1"/>
      <x:c r="T8" s="1"/>
      <x:c r="U8" s="1"/>
      <x:c r="V8" s="1"/>
      <x:c r="W8" s="1"/>
      <x:c r="X8" s="1"/>
      <x:c r="Y8" s="1"/>
      <x:c r="Z8" s="1"/>
    </x:row>
    <x:row r="9">
      <x:c r="A9" s="1" t="str">
        <x:v>b</x:v>
      </x:c>
      <x:c r="B9" s="1" t="str">
        <x:v>Purchased furniture for cash</x:v>
      </x:c>
      <x:c r="C9" s="14" t="n">
        <x:v>-600</x:v>
      </x:c>
      <x:c r="D9" s="14" t="n">
        <x:v>0</x:v>
      </x:c>
      <x:c r="E9" s="14" t="n">
        <x:v>600</x:v>
      </x:c>
      <x:c r="F9" s="14" t="n">
        <x:v>0</x:v>
      </x:c>
      <x:c r="G9" s="14" t="n">
        <x:v>0</x:v>
      </x:c>
      <x:c r="H9" s="14" t="n">
        <x:v>0</x:v>
      </x:c>
      <x:c r="I9" s="14" t="n">
        <x:v>0</x:v>
      </x:c>
      <x:c r="J9" s="14" t="n">
        <x:v>0</x:v>
      </x:c>
      <x:c r="K9" s="14" t="n">
        <x:v>0</x:v>
      </x:c>
      <x:c r="L9" s="12" t="str">
        <x:v>Investing</x:v>
      </x:c>
      <x:c r="M9" s="12" t="str">
        <x:v>Cash paid for furniture</x:v>
      </x:c>
      <x:c r="N9" s="15" t="n">
        <x:f>IF(OR(L9="Operating",L9="Investing",L9="Financing"),C9,0)</x:f>
        <x:v>-600</x:v>
      </x:c>
      <x:c r="O9" s="12" t="str"/>
      <x:c r="P9" s="1"/>
      <x:c r="Q9" s="21" t="str">
        <x:v>Dividends</x:v>
      </x:c>
      <x:c r="R9" s="24" t="n">
        <x:f>SUM(I7:I1006)</x:f>
        <x:v>900</x:v>
      </x:c>
      <x:c r="S9" s="1"/>
      <x:c r="T9" s="1"/>
      <x:c r="U9" s="1"/>
      <x:c r="V9" s="1"/>
      <x:c r="W9" s="1"/>
      <x:c r="X9" s="1"/>
      <x:c r="Y9" s="1"/>
      <x:c r="Z9" s="1"/>
    </x:row>
    <x:row r="10">
      <x:c r="A10" s="1" t="str">
        <x:v>c</x:v>
      </x:c>
      <x:c r="B10" s="1" t="str">
        <x:v>Paid operating expense</x:v>
      </x:c>
      <x:c r="C10" s="14" t="n">
        <x:v>-500</x:v>
      </x:c>
      <x:c r="D10" s="14" t="n">
        <x:v>0</x:v>
      </x:c>
      <x:c r="E10" s="14" t="n">
        <x:v>0</x:v>
      </x:c>
      <x:c r="F10" s="14" t="n">
        <x:v>0</x:v>
      </x:c>
      <x:c r="G10" s="14" t="n">
        <x:v>0</x:v>
      </x:c>
      <x:c r="H10" s="14" t="n">
        <x:v>0</x:v>
      </x:c>
      <x:c r="I10" s="14" t="n">
        <x:v>0</x:v>
      </x:c>
      <x:c r="J10" s="14" t="n">
        <x:v>0</x:v>
      </x:c>
      <x:c r="K10" s="14" t="n">
        <x:v>500</x:v>
      </x:c>
      <x:c r="L10" s="12" t="str">
        <x:v>Operating</x:v>
      </x:c>
      <x:c r="M10" s="12" t="str">
        <x:v>Cash paid for expenses</x:v>
      </x:c>
      <x:c r="N10" s="15" t="n">
        <x:f>IF(OR(L10="Operating",L10="Investing",L10="Financing"),C10,0)</x:f>
        <x:v>-500</x:v>
      </x:c>
      <x:c r="O10" s="12" t="str"/>
      <x:c r="P10" s="1"/>
      <x:c r="Q10" s="21" t="str">
        <x:v>Revenue</x:v>
      </x:c>
      <x:c r="R10" s="24" t="n">
        <x:f>SUM(J7:J1006)</x:f>
        <x:v>1855</x:v>
      </x:c>
      <x:c r="S10" s="1"/>
      <x:c r="T10" s="1"/>
      <x:c r="U10" s="1"/>
      <x:c r="V10" s="1"/>
      <x:c r="W10" s="1"/>
      <x:c r="X10" s="1"/>
      <x:c r="Y10" s="1"/>
      <x:c r="Z10" s="1"/>
    </x:row>
    <x:row r="11">
      <x:c r="A11" s="1" t="str">
        <x:v>d</x:v>
      </x:c>
      <x:c r="B11" s="1" t="str">
        <x:v>Purchased equipment on account</x:v>
      </x:c>
      <x:c r="C11" s="14" t="n">
        <x:v>0</x:v>
      </x:c>
      <x:c r="D11" s="14" t="n">
        <x:v>0</x:v>
      </x:c>
      <x:c r="E11" s="14" t="n">
        <x:v>0</x:v>
      </x:c>
      <x:c r="F11" s="14" t="n">
        <x:v>1200</x:v>
      </x:c>
      <x:c r="G11" s="14" t="n">
        <x:v>1200</x:v>
      </x:c>
      <x:c r="H11" s="14" t="n">
        <x:v>0</x:v>
      </x:c>
      <x:c r="I11" s="14" t="n">
        <x:v>0</x:v>
      </x:c>
      <x:c r="J11" s="14" t="n">
        <x:v>0</x:v>
      </x:c>
      <x:c r="K11" s="14" t="n">
        <x:v>0</x:v>
      </x:c>
      <x:c r="L11" s="12" t="str">
        <x:v>Noncash</x:v>
      </x:c>
      <x:c r="M11" s="12" t="str">
        <x:v>Equipment acquired on account</x:v>
      </x:c>
      <x:c r="N11" s="15" t="n">
        <x:f>IF(OR(L11="Operating",L11="Investing",L11="Financing"),C11,0)</x:f>
        <x:v>0</x:v>
      </x:c>
      <x:c r="O11" s="12" t="str">
        <x:v>Equipment acquired on account: $1,200</x:v>
      </x:c>
      <x:c r="P11" s="1"/>
      <x:c r="Q11" s="22" t="str">
        <x:v>Expenses</x:v>
      </x:c>
      <x:c r="R11" s="25" t="n">
        <x:f>SUM(K7:K1006)</x:f>
        <x:v>625</x:v>
      </x:c>
      <x:c r="S11" s="1"/>
      <x:c r="T11" s="1"/>
      <x:c r="U11" s="1"/>
      <x:c r="V11" s="1"/>
      <x:c r="W11" s="1"/>
      <x:c r="X11" s="1"/>
      <x:c r="Y11" s="1"/>
      <x:c r="Z11" s="1"/>
    </x:row>
    <x:row r="12">
      <x:c r="A12" s="1" t="str">
        <x:v>e</x:v>
      </x:c>
      <x:c r="B12" s="1" t="str">
        <x:v>Received cash for services</x:v>
      </x:c>
      <x:c r="C12" s="14" t="n">
        <x:v>825</x:v>
      </x:c>
      <x:c r="D12" s="14" t="n">
        <x:v>0</x:v>
      </x:c>
      <x:c r="E12" s="14" t="n">
        <x:v>0</x:v>
      </x:c>
      <x:c r="F12" s="14" t="n">
        <x:v>0</x:v>
      </x:c>
      <x:c r="G12" s="14" t="n">
        <x:v>0</x:v>
      </x:c>
      <x:c r="H12" s="14" t="n">
        <x:v>0</x:v>
      </x:c>
      <x:c r="I12" s="14" t="n">
        <x:v>0</x:v>
      </x:c>
      <x:c r="J12" s="14" t="n">
        <x:v>825</x:v>
      </x:c>
      <x:c r="K12" s="14" t="n">
        <x:v>0</x:v>
      </x:c>
      <x:c r="L12" s="12" t="str">
        <x:v>Operating</x:v>
      </x:c>
      <x:c r="M12" s="12" t="str">
        <x:v>Cash received from clients</x:v>
      </x:c>
      <x:c r="N12" s="15" t="n">
        <x:f>IF(OR(L12="Operating",L12="Investing",L12="Financing"),C12,0)</x:f>
        <x:v>825</x:v>
      </x:c>
      <x:c r="O12" s="12" t="str"/>
      <x:c r="P12" s="1"/>
      <x:c r="Q12" s="1"/>
      <x:c r="R12" s="26"/>
      <x:c r="S12" s="1"/>
      <x:c r="T12" s="1"/>
      <x:c r="U12" s="1"/>
      <x:c r="V12" s="1"/>
      <x:c r="W12" s="1"/>
      <x:c r="X12" s="1"/>
      <x:c r="Y12" s="1"/>
      <x:c r="Z12" s="1"/>
    </x:row>
    <x:row r="13">
      <x:c r="A13" s="1" t="str">
        <x:v>f</x:v>
      </x:c>
      <x:c r="B13" s="1" t="str">
        <x:v>Provided services on account</x:v>
      </x:c>
      <x:c r="C13" s="14" t="n">
        <x:v>0</x:v>
      </x:c>
      <x:c r="D13" s="14" t="n">
        <x:v>100</x:v>
      </x:c>
      <x:c r="E13" s="14" t="n">
        <x:v>0</x:v>
      </x:c>
      <x:c r="F13" s="14" t="n">
        <x:v>0</x:v>
      </x:c>
      <x:c r="G13" s="14" t="n">
        <x:v>0</x:v>
      </x:c>
      <x:c r="H13" s="14" t="n">
        <x:v>0</x:v>
      </x:c>
      <x:c r="I13" s="14" t="n">
        <x:v>0</x:v>
      </x:c>
      <x:c r="J13" s="14" t="n">
        <x:v>100</x:v>
      </x:c>
      <x:c r="K13" s="14" t="n">
        <x:v>0</x:v>
      </x:c>
      <x:c r="L13" s="12" t="str">
        <x:v>Noncash</x:v>
      </x:c>
      <x:c r="M13" s="12" t="str">
        <x:v>Revenue earned on account</x:v>
      </x:c>
      <x:c r="N13" s="15" t="n">
        <x:f>IF(OR(L13="Operating",L13="Investing",L13="Financing"),C13,0)</x:f>
        <x:v>0</x:v>
      </x:c>
      <x:c r="O13" s="12" t="str"/>
      <x:c r="P13" s="1"/>
      <x:c r="Q13" s="27" t="str">
        <x:v>Assets</x:v>
      </x:c>
      <x:c r="R13" s="28" t="n">
        <x:f>SUM(R3:R6)</x:f>
        <x:v>19130</x:v>
      </x:c>
      <x:c r="S13" s="1"/>
      <x:c r="T13" s="1"/>
      <x:c r="U13" s="1"/>
      <x:c r="V13" s="1"/>
      <x:c r="W13" s="1"/>
      <x:c r="X13" s="1"/>
      <x:c r="Y13" s="1"/>
      <x:c r="Z13" s="1"/>
    </x:row>
    <x:row r="14">
      <x:c r="A14" s="1" t="str">
        <x:v>g</x:v>
      </x:c>
      <x:c r="B14" s="1" t="str">
        <x:v>Collected accounts receivable</x:v>
      </x:c>
      <x:c r="C14" s="14" t="n">
        <x:v>100</x:v>
      </x:c>
      <x:c r="D14" s="14" t="n">
        <x:v>-100</x:v>
      </x:c>
      <x:c r="E14" s="14" t="n">
        <x:v>0</x:v>
      </x:c>
      <x:c r="F14" s="14" t="n">
        <x:v>0</x:v>
      </x:c>
      <x:c r="G14" s="14" t="n">
        <x:v>0</x:v>
      </x:c>
      <x:c r="H14" s="14" t="n">
        <x:v>0</x:v>
      </x:c>
      <x:c r="I14" s="14" t="n">
        <x:v>0</x:v>
      </x:c>
      <x:c r="J14" s="14" t="n">
        <x:v>0</x:v>
      </x:c>
      <x:c r="K14" s="14" t="n">
        <x:v>0</x:v>
      </x:c>
      <x:c r="L14" s="12" t="str">
        <x:v>Operating</x:v>
      </x:c>
      <x:c r="M14" s="12" t="str">
        <x:v>Cash received from clients</x:v>
      </x:c>
      <x:c r="N14" s="15" t="n">
        <x:f>IF(OR(L14="Operating",L14="Investing",L14="Financing"),C14,0)</x:f>
        <x:v>100</x:v>
      </x:c>
      <x:c r="O14" s="12" t="str"/>
      <x:c r="P14" s="1"/>
      <x:c r="Q14" s="27" t="str">
        <x:v>Liabilities + equity</x:v>
      </x:c>
      <x:c r="R14" s="28" t="n">
        <x:f>R7+R8-R9+R10-R11</x:f>
        <x:v>19130</x:v>
      </x:c>
      <x:c r="S14" s="1"/>
      <x:c r="T14" s="1"/>
      <x:c r="U14" s="1"/>
      <x:c r="V14" s="1"/>
      <x:c r="W14" s="1"/>
      <x:c r="X14" s="1"/>
      <x:c r="Y14" s="1"/>
      <x:c r="Z14" s="1"/>
    </x:row>
    <x:row r="15">
      <x:c r="A15" s="1" t="str">
        <x:v>h</x:v>
      </x:c>
      <x:c r="B15" s="1" t="str">
        <x:v>Paid operating expense</x:v>
      </x:c>
      <x:c r="C15" s="14" t="n">
        <x:v>-125</x:v>
      </x:c>
      <x:c r="D15" s="14" t="n">
        <x:v>0</x:v>
      </x:c>
      <x:c r="E15" s="14" t="n">
        <x:v>0</x:v>
      </x:c>
      <x:c r="F15" s="14" t="n">
        <x:v>0</x:v>
      </x:c>
      <x:c r="G15" s="14" t="n">
        <x:v>0</x:v>
      </x:c>
      <x:c r="H15" s="14" t="n">
        <x:v>0</x:v>
      </x:c>
      <x:c r="I15" s="14" t="n">
        <x:v>0</x:v>
      </x:c>
      <x:c r="J15" s="14" t="n">
        <x:v>0</x:v>
      </x:c>
      <x:c r="K15" s="14" t="n">
        <x:v>125</x:v>
      </x:c>
      <x:c r="L15" s="12" t="str">
        <x:v>Operating</x:v>
      </x:c>
      <x:c r="M15" s="12" t="str">
        <x:v>Cash paid for expenses</x:v>
      </x:c>
      <x:c r="N15" s="15" t="n">
        <x:f>IF(OR(L15="Operating",L15="Investing",L15="Financing"),C15,0)</x:f>
        <x:v>-125</x:v>
      </x:c>
      <x:c r="O15" s="12" t="str"/>
      <x:c r="P15" s="1"/>
      <x:c r="Q15" s="27" t="str">
        <x:v>Difference</x:v>
      </x:c>
      <x:c r="R15" s="28" t="n">
        <x:f>R13-R14</x:f>
        <x:v>0</x:v>
      </x:c>
      <x:c r="S15" s="1"/>
      <x:c r="T15" s="1"/>
      <x:c r="U15" s="1"/>
      <x:c r="V15" s="1"/>
      <x:c r="W15" s="1"/>
      <x:c r="X15" s="1"/>
      <x:c r="Y15" s="1"/>
      <x:c r="Z15" s="1"/>
    </x:row>
    <x:row r="16">
      <x:c r="A16" s="1" t="str">
        <x:v>i</x:v>
      </x:c>
      <x:c r="B16" s="1" t="str">
        <x:v>Received cash for services</x:v>
      </x:c>
      <x:c r="C16" s="14" t="n">
        <x:v>930</x:v>
      </x:c>
      <x:c r="D16" s="14" t="n">
        <x:v>0</x:v>
      </x:c>
      <x:c r="E16" s="14" t="n">
        <x:v>0</x:v>
      </x:c>
      <x:c r="F16" s="14" t="n">
        <x:v>0</x:v>
      </x:c>
      <x:c r="G16" s="14" t="n">
        <x:v>0</x:v>
      </x:c>
      <x:c r="H16" s="14" t="n">
        <x:v>0</x:v>
      </x:c>
      <x:c r="I16" s="14" t="n">
        <x:v>0</x:v>
      </x:c>
      <x:c r="J16" s="14" t="n">
        <x:v>930</x:v>
      </x:c>
      <x:c r="K16" s="14" t="n">
        <x:v>0</x:v>
      </x:c>
      <x:c r="L16" s="12" t="str">
        <x:v>Operating</x:v>
      </x:c>
      <x:c r="M16" s="12" t="str">
        <x:v>Cash received from clients</x:v>
      </x:c>
      <x:c r="N16" s="15" t="n">
        <x:f>IF(OR(L16="Operating",L16="Investing",L16="Financing"),C16,0)</x:f>
        <x:v>930</x:v>
      </x:c>
      <x:c r="O16" s="12" t="str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 t="str">
        <x:v>j</x:v>
      </x:c>
      <x:c r="B17" s="1" t="str">
        <x:v>Paid accounts payable for equipment</x:v>
      </x:c>
      <x:c r="C17" s="14" t="n">
        <x:v>-400</x:v>
      </x:c>
      <x:c r="D17" s="14" t="n">
        <x:v>0</x:v>
      </x:c>
      <x:c r="E17" s="14" t="n">
        <x:v>0</x:v>
      </x:c>
      <x:c r="F17" s="14" t="n">
        <x:v>0</x:v>
      </x:c>
      <x:c r="G17" s="14" t="n">
        <x:v>-400</x:v>
      </x:c>
      <x:c r="H17" s="14" t="n">
        <x:v>0</x:v>
      </x:c>
      <x:c r="I17" s="14" t="n">
        <x:v>0</x:v>
      </x:c>
      <x:c r="J17" s="14" t="n">
        <x:v>0</x:v>
      </x:c>
      <x:c r="K17" s="14" t="n">
        <x:v>0</x:v>
      </x:c>
      <x:c r="L17" s="12" t="str">
        <x:v>Investing</x:v>
      </x:c>
      <x:c r="M17" s="12" t="str">
        <x:v>Cash paid on equipment payable</x:v>
      </x:c>
      <x:c r="N17" s="15" t="n">
        <x:f>IF(OR(L17="Operating",L17="Investing",L17="Financing"),C17,0)</x:f>
        <x:v>-400</x:v>
      </x:c>
      <x:c r="O17" s="12" t="str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 t="str">
        <x:v>k</x:v>
      </x:c>
      <x:c r="B18" s="1" t="str">
        <x:v>Paid cash dividend</x:v>
      </x:c>
      <x:c r="C18" s="14" t="n">
        <x:v>-900</x:v>
      </x:c>
      <x:c r="D18" s="14" t="n">
        <x:v>0</x:v>
      </x:c>
      <x:c r="E18" s="14" t="n">
        <x:v>0</x:v>
      </x:c>
      <x:c r="F18" s="14" t="n">
        <x:v>0</x:v>
      </x:c>
      <x:c r="G18" s="14" t="n">
        <x:v>0</x:v>
      </x:c>
      <x:c r="H18" s="14" t="n">
        <x:v>0</x:v>
      </x:c>
      <x:c r="I18" s="14" t="n">
        <x:v>900</x:v>
      </x:c>
      <x:c r="J18" s="14" t="n">
        <x:v>0</x:v>
      </x:c>
      <x:c r="K18" s="14" t="n">
        <x:v>0</x:v>
      </x:c>
      <x:c r="L18" s="12" t="str">
        <x:v>Financing</x:v>
      </x:c>
      <x:c r="M18" s="12" t="str">
        <x:v>Cash dividends to shareholders</x:v>
      </x:c>
      <x:c r="N18" s="15" t="n">
        <x:f>IF(OR(L18="Operating",L18="Investing",L18="Financing"),C18,0)</x:f>
        <x:v>-900</x:v>
      </x:c>
      <x:c r="O18" s="12" t="str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4"/>
      <x:c r="D19" s="14"/>
      <x:c r="E19" s="14"/>
      <x:c r="F19" s="14"/>
      <x:c r="G19" s="14"/>
      <x:c r="H19" s="14"/>
      <x:c r="I19" s="14"/>
      <x:c r="J19" s="14"/>
      <x:c r="K19" s="14"/>
      <x:c r="L19" s="12"/>
      <x:c r="M19" s="12"/>
      <x:c r="N19" s="15" t="n">
        <x:f>IF(OR(L19="Operating",L19="Investing",L19="Financing"),C19,0)</x:f>
        <x:v>0</x:v>
      </x:c>
      <x:c r="O19" s="12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4"/>
      <x:c r="D20" s="14"/>
      <x:c r="E20" s="14"/>
      <x:c r="F20" s="14"/>
      <x:c r="G20" s="14"/>
      <x:c r="H20" s="14"/>
      <x:c r="I20" s="14"/>
      <x:c r="J20" s="14"/>
      <x:c r="K20" s="14"/>
      <x:c r="L20" s="12"/>
      <x:c r="M20" s="12"/>
      <x:c r="N20" s="15" t="n">
        <x:f>IF(OR(L20="Operating",L20="Investing",L20="Financing"),C20,0)</x:f>
        <x:v>0</x:v>
      </x:c>
      <x:c r="O20" s="12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4"/>
      <x:c r="D21" s="14"/>
      <x:c r="E21" s="14"/>
      <x:c r="F21" s="14"/>
      <x:c r="G21" s="14"/>
      <x:c r="H21" s="14"/>
      <x:c r="I21" s="14"/>
      <x:c r="J21" s="14"/>
      <x:c r="K21" s="14"/>
      <x:c r="L21" s="12"/>
      <x:c r="M21" s="12"/>
      <x:c r="N21" s="15" t="n">
        <x:f>IF(OR(L21="Operating",L21="Investing",L21="Financing"),C21,0)</x:f>
        <x:v>0</x:v>
      </x:c>
      <x:c r="O21" s="12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4"/>
      <x:c r="D22" s="14"/>
      <x:c r="E22" s="14"/>
      <x:c r="F22" s="14"/>
      <x:c r="G22" s="14"/>
      <x:c r="H22" s="14"/>
      <x:c r="I22" s="14"/>
      <x:c r="J22" s="14"/>
      <x:c r="K22" s="14"/>
      <x:c r="L22" s="12"/>
      <x:c r="M22" s="12"/>
      <x:c r="N22" s="15" t="n">
        <x:f>IF(OR(L22="Operating",L22="Investing",L22="Financing"),C22,0)</x:f>
        <x:v>0</x:v>
      </x:c>
      <x:c r="O22" s="12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4"/>
      <x:c r="D23" s="14"/>
      <x:c r="E23" s="14"/>
      <x:c r="F23" s="14"/>
      <x:c r="G23" s="14"/>
      <x:c r="H23" s="14"/>
      <x:c r="I23" s="14"/>
      <x:c r="J23" s="14"/>
      <x:c r="K23" s="14"/>
      <x:c r="L23" s="12"/>
      <x:c r="M23" s="12"/>
      <x:c r="N23" s="15" t="n">
        <x:f>IF(OR(L23="Operating",L23="Investing",L23="Financing"),C23,0)</x:f>
        <x:v>0</x:v>
      </x:c>
      <x:c r="O23" s="12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4"/>
      <x:c r="D24" s="14"/>
      <x:c r="E24" s="14"/>
      <x:c r="F24" s="14"/>
      <x:c r="G24" s="14"/>
      <x:c r="H24" s="14"/>
      <x:c r="I24" s="14"/>
      <x:c r="J24" s="14"/>
      <x:c r="K24" s="14"/>
      <x:c r="L24" s="12"/>
      <x:c r="M24" s="12"/>
      <x:c r="N24" s="15" t="n">
        <x:f>IF(OR(L24="Operating",L24="Investing",L24="Financing"),C24,0)</x:f>
        <x:v>0</x:v>
      </x:c>
      <x:c r="O24" s="12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4"/>
      <x:c r="D25" s="14"/>
      <x:c r="E25" s="14"/>
      <x:c r="F25" s="14"/>
      <x:c r="G25" s="14"/>
      <x:c r="H25" s="14"/>
      <x:c r="I25" s="14"/>
      <x:c r="J25" s="14"/>
      <x:c r="K25" s="14"/>
      <x:c r="L25" s="12"/>
      <x:c r="M25" s="12"/>
      <x:c r="N25" s="15" t="n">
        <x:f>IF(OR(L25="Operating",L25="Investing",L25="Financing"),C25,0)</x:f>
        <x:v>0</x:v>
      </x:c>
      <x:c r="O25" s="12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4"/>
      <x:c r="D26" s="14"/>
      <x:c r="E26" s="14"/>
      <x:c r="F26" s="14"/>
      <x:c r="G26" s="14"/>
      <x:c r="H26" s="14"/>
      <x:c r="I26" s="14"/>
      <x:c r="J26" s="14"/>
      <x:c r="K26" s="14"/>
      <x:c r="L26" s="12"/>
      <x:c r="M26" s="12"/>
      <x:c r="N26" s="15" t="n">
        <x:f>IF(OR(L26="Operating",L26="Investing",L26="Financing"),C26,0)</x:f>
        <x:v>0</x:v>
      </x:c>
      <x:c r="O26" s="12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4"/>
      <x:c r="D27" s="14"/>
      <x:c r="E27" s="14"/>
      <x:c r="F27" s="14"/>
      <x:c r="G27" s="14"/>
      <x:c r="H27" s="14"/>
      <x:c r="I27" s="14"/>
      <x:c r="J27" s="14"/>
      <x:c r="K27" s="14"/>
      <x:c r="L27" s="12"/>
      <x:c r="M27" s="12"/>
      <x:c r="N27" s="15" t="n">
        <x:f>IF(OR(L27="Operating",L27="Investing",L27="Financing"),C27,0)</x:f>
        <x:v>0</x:v>
      </x:c>
      <x:c r="O27" s="12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4"/>
      <x:c r="D28" s="14"/>
      <x:c r="E28" s="14"/>
      <x:c r="F28" s="14"/>
      <x:c r="G28" s="14"/>
      <x:c r="H28" s="14"/>
      <x:c r="I28" s="14"/>
      <x:c r="J28" s="14"/>
      <x:c r="K28" s="14"/>
      <x:c r="L28" s="12"/>
      <x:c r="M28" s="12"/>
      <x:c r="N28" s="15" t="n">
        <x:f>IF(OR(L28="Operating",L28="Investing",L28="Financing"),C28,0)</x:f>
        <x:v>0</x:v>
      </x:c>
      <x:c r="O28" s="12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4"/>
      <x:c r="D29" s="14"/>
      <x:c r="E29" s="14"/>
      <x:c r="F29" s="14"/>
      <x:c r="G29" s="14"/>
      <x:c r="H29" s="14"/>
      <x:c r="I29" s="14"/>
      <x:c r="J29" s="14"/>
      <x:c r="K29" s="14"/>
      <x:c r="L29" s="12"/>
      <x:c r="M29" s="12"/>
      <x:c r="N29" s="15" t="n">
        <x:f>IF(OR(L29="Operating",L29="Investing",L29="Financing"),C29,0)</x:f>
        <x:v>0</x:v>
      </x:c>
      <x:c r="O29" s="12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4"/>
      <x:c r="D30" s="14"/>
      <x:c r="E30" s="14"/>
      <x:c r="F30" s="14"/>
      <x:c r="G30" s="14"/>
      <x:c r="H30" s="14"/>
      <x:c r="I30" s="14"/>
      <x:c r="J30" s="14"/>
      <x:c r="K30" s="14"/>
      <x:c r="L30" s="12"/>
      <x:c r="M30" s="12"/>
      <x:c r="N30" s="15" t="n">
        <x:f>IF(OR(L30="Operating",L30="Investing",L30="Financing"),C30,0)</x:f>
        <x:v>0</x:v>
      </x:c>
      <x:c r="O30" s="12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4"/>
      <x:c r="D31" s="14"/>
      <x:c r="E31" s="14"/>
      <x:c r="F31" s="14"/>
      <x:c r="G31" s="14"/>
      <x:c r="H31" s="14"/>
      <x:c r="I31" s="14"/>
      <x:c r="J31" s="14"/>
      <x:c r="K31" s="14"/>
      <x:c r="L31" s="12"/>
      <x:c r="M31" s="12"/>
      <x:c r="N31" s="15" t="n">
        <x:f>IF(OR(L31="Operating",L31="Investing",L31="Financing"),C31,0)</x:f>
        <x:v>0</x:v>
      </x:c>
      <x:c r="O31" s="12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4"/>
      <x:c r="D32" s="14"/>
      <x:c r="E32" s="14"/>
      <x:c r="F32" s="14"/>
      <x:c r="G32" s="14"/>
      <x:c r="H32" s="14"/>
      <x:c r="I32" s="14"/>
      <x:c r="J32" s="14"/>
      <x:c r="K32" s="14"/>
      <x:c r="L32" s="12"/>
      <x:c r="M32" s="12"/>
      <x:c r="N32" s="15" t="n">
        <x:f>IF(OR(L32="Operating",L32="Investing",L32="Financing"),C32,0)</x:f>
        <x:v>0</x:v>
      </x:c>
      <x:c r="O32" s="12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4"/>
      <x:c r="D33" s="14"/>
      <x:c r="E33" s="14"/>
      <x:c r="F33" s="14"/>
      <x:c r="G33" s="14"/>
      <x:c r="H33" s="14"/>
      <x:c r="I33" s="14"/>
      <x:c r="J33" s="14"/>
      <x:c r="K33" s="14"/>
      <x:c r="L33" s="12"/>
      <x:c r="M33" s="12"/>
      <x:c r="N33" s="15" t="n">
        <x:f>IF(OR(L33="Operating",L33="Investing",L33="Financing"),C33,0)</x:f>
        <x:v>0</x:v>
      </x:c>
      <x:c r="O33" s="12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4"/>
      <x:c r="D34" s="14"/>
      <x:c r="E34" s="14"/>
      <x:c r="F34" s="14"/>
      <x:c r="G34" s="14"/>
      <x:c r="H34" s="14"/>
      <x:c r="I34" s="14"/>
      <x:c r="J34" s="14"/>
      <x:c r="K34" s="14"/>
      <x:c r="L34" s="12"/>
      <x:c r="M34" s="12"/>
      <x:c r="N34" s="15" t="n">
        <x:f>IF(OR(L34="Operating",L34="Investing",L34="Financing"),C34,0)</x:f>
        <x:v>0</x:v>
      </x:c>
      <x:c r="O34" s="12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4"/>
      <x:c r="D35" s="14"/>
      <x:c r="E35" s="14"/>
      <x:c r="F35" s="14"/>
      <x:c r="G35" s="14"/>
      <x:c r="H35" s="14"/>
      <x:c r="I35" s="14"/>
      <x:c r="J35" s="14"/>
      <x:c r="K35" s="14"/>
      <x:c r="L35" s="12"/>
      <x:c r="M35" s="12"/>
      <x:c r="N35" s="15" t="n">
        <x:f>IF(OR(L35="Operating",L35="Investing",L35="Financing"),C35,0)</x:f>
        <x:v>0</x:v>
      </x:c>
      <x:c r="O35" s="12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4"/>
      <x:c r="D36" s="14"/>
      <x:c r="E36" s="14"/>
      <x:c r="F36" s="14"/>
      <x:c r="G36" s="14"/>
      <x:c r="H36" s="14"/>
      <x:c r="I36" s="14"/>
      <x:c r="J36" s="14"/>
      <x:c r="K36" s="14"/>
      <x:c r="L36" s="12"/>
      <x:c r="M36" s="12"/>
      <x:c r="N36" s="15" t="n">
        <x:f>IF(OR(L36="Operating",L36="Investing",L36="Financing"),C36,0)</x:f>
        <x:v>0</x:v>
      </x:c>
      <x:c r="O36" s="12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4"/>
      <x:c r="D37" s="14"/>
      <x:c r="E37" s="14"/>
      <x:c r="F37" s="14"/>
      <x:c r="G37" s="14"/>
      <x:c r="H37" s="14"/>
      <x:c r="I37" s="14"/>
      <x:c r="J37" s="14"/>
      <x:c r="K37" s="14"/>
      <x:c r="L37" s="12"/>
      <x:c r="M37" s="12"/>
      <x:c r="N37" s="15" t="n">
        <x:f>IF(OR(L37="Operating",L37="Investing",L37="Financing"),C37,0)</x:f>
        <x:v>0</x:v>
      </x:c>
      <x:c r="O37" s="12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4"/>
      <x:c r="D38" s="14"/>
      <x:c r="E38" s="14"/>
      <x:c r="F38" s="14"/>
      <x:c r="G38" s="14"/>
      <x:c r="H38" s="14"/>
      <x:c r="I38" s="14"/>
      <x:c r="J38" s="14"/>
      <x:c r="K38" s="14"/>
      <x:c r="L38" s="12"/>
      <x:c r="M38" s="12"/>
      <x:c r="N38" s="15" t="n">
        <x:f>IF(OR(L38="Operating",L38="Investing",L38="Financing"),C38,0)</x:f>
        <x:v>0</x:v>
      </x:c>
      <x:c r="O38" s="12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4"/>
      <x:c r="D39" s="14"/>
      <x:c r="E39" s="14"/>
      <x:c r="F39" s="14"/>
      <x:c r="G39" s="14"/>
      <x:c r="H39" s="14"/>
      <x:c r="I39" s="14"/>
      <x:c r="J39" s="14"/>
      <x:c r="K39" s="14"/>
      <x:c r="L39" s="12"/>
      <x:c r="M39" s="12"/>
      <x:c r="N39" s="15" t="n">
        <x:f>IF(OR(L39="Operating",L39="Investing",L39="Financing"),C39,0)</x:f>
        <x:v>0</x:v>
      </x:c>
      <x:c r="O39" s="12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4"/>
      <x:c r="D40" s="14"/>
      <x:c r="E40" s="14"/>
      <x:c r="F40" s="14"/>
      <x:c r="G40" s="14"/>
      <x:c r="H40" s="14"/>
      <x:c r="I40" s="14"/>
      <x:c r="J40" s="14"/>
      <x:c r="K40" s="14"/>
      <x:c r="L40" s="12"/>
      <x:c r="M40" s="12"/>
      <x:c r="N40" s="15" t="n">
        <x:f>IF(OR(L40="Operating",L40="Investing",L40="Financing"),C40,0)</x:f>
        <x:v>0</x:v>
      </x:c>
      <x:c r="O40" s="12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4"/>
      <x:c r="D41" s="14"/>
      <x:c r="E41" s="14"/>
      <x:c r="F41" s="14"/>
      <x:c r="G41" s="14"/>
      <x:c r="H41" s="14"/>
      <x:c r="I41" s="14"/>
      <x:c r="J41" s="14"/>
      <x:c r="K41" s="14"/>
      <x:c r="L41" s="12"/>
      <x:c r="M41" s="12"/>
      <x:c r="N41" s="15" t="n">
        <x:f>IF(OR(L41="Operating",L41="Investing",L41="Financing"),C41,0)</x:f>
        <x:v>0</x:v>
      </x:c>
      <x:c r="O41" s="12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4"/>
      <x:c r="D42" s="14"/>
      <x:c r="E42" s="14"/>
      <x:c r="F42" s="14"/>
      <x:c r="G42" s="14"/>
      <x:c r="H42" s="14"/>
      <x:c r="I42" s="14"/>
      <x:c r="J42" s="14"/>
      <x:c r="K42" s="14"/>
      <x:c r="L42" s="12"/>
      <x:c r="M42" s="12"/>
      <x:c r="N42" s="15" t="n">
        <x:f>IF(OR(L42="Operating",L42="Investing",L42="Financing"),C42,0)</x:f>
        <x:v>0</x:v>
      </x:c>
      <x:c r="O42" s="12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4"/>
      <x:c r="D43" s="14"/>
      <x:c r="E43" s="14"/>
      <x:c r="F43" s="14"/>
      <x:c r="G43" s="14"/>
      <x:c r="H43" s="14"/>
      <x:c r="I43" s="14"/>
      <x:c r="J43" s="14"/>
      <x:c r="K43" s="14"/>
      <x:c r="L43" s="12"/>
      <x:c r="M43" s="12"/>
      <x:c r="N43" s="15" t="n">
        <x:f>IF(OR(L43="Operating",L43="Investing",L43="Financing"),C43,0)</x:f>
        <x:v>0</x:v>
      </x:c>
      <x:c r="O43" s="12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4"/>
      <x:c r="D44" s="14"/>
      <x:c r="E44" s="14"/>
      <x:c r="F44" s="14"/>
      <x:c r="G44" s="14"/>
      <x:c r="H44" s="14"/>
      <x:c r="I44" s="14"/>
      <x:c r="J44" s="14"/>
      <x:c r="K44" s="14"/>
      <x:c r="L44" s="12"/>
      <x:c r="M44" s="12"/>
      <x:c r="N44" s="15" t="n">
        <x:f>IF(OR(L44="Operating",L44="Investing",L44="Financing"),C44,0)</x:f>
        <x:v>0</x:v>
      </x:c>
      <x:c r="O44" s="12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4"/>
      <x:c r="D45" s="14"/>
      <x:c r="E45" s="14"/>
      <x:c r="F45" s="14"/>
      <x:c r="G45" s="14"/>
      <x:c r="H45" s="14"/>
      <x:c r="I45" s="14"/>
      <x:c r="J45" s="14"/>
      <x:c r="K45" s="14"/>
      <x:c r="L45" s="12"/>
      <x:c r="M45" s="12"/>
      <x:c r="N45" s="15" t="n">
        <x:f>IF(OR(L45="Operating",L45="Investing",L45="Financing"),C45,0)</x:f>
        <x:v>0</x:v>
      </x:c>
      <x:c r="O45" s="12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4"/>
      <x:c r="D46" s="14"/>
      <x:c r="E46" s="14"/>
      <x:c r="F46" s="14"/>
      <x:c r="G46" s="14"/>
      <x:c r="H46" s="14"/>
      <x:c r="I46" s="14"/>
      <x:c r="J46" s="14"/>
      <x:c r="K46" s="14"/>
      <x:c r="L46" s="12"/>
      <x:c r="M46" s="12"/>
      <x:c r="N46" s="15" t="n">
        <x:f>IF(OR(L46="Operating",L46="Investing",L46="Financing"),C46,0)</x:f>
        <x:v>0</x:v>
      </x:c>
      <x:c r="O46" s="12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4"/>
      <x:c r="D47" s="14"/>
      <x:c r="E47" s="14"/>
      <x:c r="F47" s="14"/>
      <x:c r="G47" s="14"/>
      <x:c r="H47" s="14"/>
      <x:c r="I47" s="14"/>
      <x:c r="J47" s="14"/>
      <x:c r="K47" s="14"/>
      <x:c r="L47" s="12"/>
      <x:c r="M47" s="12"/>
      <x:c r="N47" s="15" t="n">
        <x:f>IF(OR(L47="Operating",L47="Investing",L47="Financing"),C47,0)</x:f>
        <x:v>0</x:v>
      </x:c>
      <x:c r="O47" s="12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4"/>
      <x:c r="D48" s="14"/>
      <x:c r="E48" s="14"/>
      <x:c r="F48" s="14"/>
      <x:c r="G48" s="14"/>
      <x:c r="H48" s="14"/>
      <x:c r="I48" s="14"/>
      <x:c r="J48" s="14"/>
      <x:c r="K48" s="14"/>
      <x:c r="L48" s="12"/>
      <x:c r="M48" s="12"/>
      <x:c r="N48" s="15" t="n">
        <x:f>IF(OR(L48="Operating",L48="Investing",L48="Financing"),C48,0)</x:f>
        <x:v>0</x:v>
      </x:c>
      <x:c r="O48" s="12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4"/>
      <x:c r="D49" s="14"/>
      <x:c r="E49" s="14"/>
      <x:c r="F49" s="14"/>
      <x:c r="G49" s="14"/>
      <x:c r="H49" s="14"/>
      <x:c r="I49" s="14"/>
      <x:c r="J49" s="14"/>
      <x:c r="K49" s="14"/>
      <x:c r="L49" s="12"/>
      <x:c r="M49" s="12"/>
      <x:c r="N49" s="15" t="n">
        <x:f>IF(OR(L49="Operating",L49="Investing",L49="Financing"),C49,0)</x:f>
        <x:v>0</x:v>
      </x:c>
      <x:c r="O49" s="12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4"/>
      <x:c r="D50" s="14"/>
      <x:c r="E50" s="14"/>
      <x:c r="F50" s="14"/>
      <x:c r="G50" s="14"/>
      <x:c r="H50" s="14"/>
      <x:c r="I50" s="14"/>
      <x:c r="J50" s="14"/>
      <x:c r="K50" s="14"/>
      <x:c r="L50" s="12"/>
      <x:c r="M50" s="12"/>
      <x:c r="N50" s="15" t="n">
        <x:f>IF(OR(L50="Operating",L50="Investing",L50="Financing"),C50,0)</x:f>
        <x:v>0</x:v>
      </x:c>
      <x:c r="O50" s="12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4"/>
      <x:c r="D51" s="14"/>
      <x:c r="E51" s="14"/>
      <x:c r="F51" s="14"/>
      <x:c r="G51" s="14"/>
      <x:c r="H51" s="14"/>
      <x:c r="I51" s="14"/>
      <x:c r="J51" s="14"/>
      <x:c r="K51" s="14"/>
      <x:c r="L51" s="12"/>
      <x:c r="M51" s="12"/>
      <x:c r="N51" s="15" t="n">
        <x:f>IF(OR(L51="Operating",L51="Investing",L51="Financing"),C51,0)</x:f>
        <x:v>0</x:v>
      </x:c>
      <x:c r="O51" s="12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4"/>
      <x:c r="D52" s="14"/>
      <x:c r="E52" s="14"/>
      <x:c r="F52" s="14"/>
      <x:c r="G52" s="14"/>
      <x:c r="H52" s="14"/>
      <x:c r="I52" s="14"/>
      <x:c r="J52" s="14"/>
      <x:c r="K52" s="14"/>
      <x:c r="L52" s="12"/>
      <x:c r="M52" s="12"/>
      <x:c r="N52" s="15" t="n">
        <x:f>IF(OR(L52="Operating",L52="Investing",L52="Financing"),C52,0)</x:f>
        <x:v>0</x:v>
      </x:c>
      <x:c r="O52" s="12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4"/>
      <x:c r="D53" s="14"/>
      <x:c r="E53" s="14"/>
      <x:c r="F53" s="14"/>
      <x:c r="G53" s="14"/>
      <x:c r="H53" s="14"/>
      <x:c r="I53" s="14"/>
      <x:c r="J53" s="14"/>
      <x:c r="K53" s="14"/>
      <x:c r="L53" s="12"/>
      <x:c r="M53" s="12"/>
      <x:c r="N53" s="15" t="n">
        <x:f>IF(OR(L53="Operating",L53="Investing",L53="Financing"),C53,0)</x:f>
        <x:v>0</x:v>
      </x:c>
      <x:c r="O53" s="12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4"/>
      <x:c r="D54" s="14"/>
      <x:c r="E54" s="14"/>
      <x:c r="F54" s="14"/>
      <x:c r="G54" s="14"/>
      <x:c r="H54" s="14"/>
      <x:c r="I54" s="14"/>
      <x:c r="J54" s="14"/>
      <x:c r="K54" s="14"/>
      <x:c r="L54" s="12"/>
      <x:c r="M54" s="12"/>
      <x:c r="N54" s="15" t="n">
        <x:f>IF(OR(L54="Operating",L54="Investing",L54="Financing"),C54,0)</x:f>
        <x:v>0</x:v>
      </x:c>
      <x:c r="O54" s="12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4"/>
      <x:c r="D55" s="14"/>
      <x:c r="E55" s="14"/>
      <x:c r="F55" s="14"/>
      <x:c r="G55" s="14"/>
      <x:c r="H55" s="14"/>
      <x:c r="I55" s="14"/>
      <x:c r="J55" s="14"/>
      <x:c r="K55" s="14"/>
      <x:c r="L55" s="12"/>
      <x:c r="M55" s="12"/>
      <x:c r="N55" s="15" t="n">
        <x:f>IF(OR(L55="Operating",L55="Investing",L55="Financing"),C55,0)</x:f>
        <x:v>0</x:v>
      </x:c>
      <x:c r="O55" s="12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4"/>
      <x:c r="D56" s="14"/>
      <x:c r="E56" s="14"/>
      <x:c r="F56" s="14"/>
      <x:c r="G56" s="14"/>
      <x:c r="H56" s="14"/>
      <x:c r="I56" s="14"/>
      <x:c r="J56" s="14"/>
      <x:c r="K56" s="14"/>
      <x:c r="L56" s="12"/>
      <x:c r="M56" s="12"/>
      <x:c r="N56" s="15" t="n">
        <x:f>IF(OR(L56="Operating",L56="Investing",L56="Financing"),C56,0)</x:f>
        <x:v>0</x:v>
      </x:c>
      <x:c r="O56" s="12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4"/>
      <x:c r="D57" s="14"/>
      <x:c r="E57" s="14"/>
      <x:c r="F57" s="14"/>
      <x:c r="G57" s="14"/>
      <x:c r="H57" s="14"/>
      <x:c r="I57" s="14"/>
      <x:c r="J57" s="14"/>
      <x:c r="K57" s="14"/>
      <x:c r="L57" s="12"/>
      <x:c r="M57" s="12"/>
      <x:c r="N57" s="15" t="n">
        <x:f>IF(OR(L57="Operating",L57="Investing",L57="Financing"),C57,0)</x:f>
        <x:v>0</x:v>
      </x:c>
      <x:c r="O57" s="12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4"/>
      <x:c r="D58" s="14"/>
      <x:c r="E58" s="14"/>
      <x:c r="F58" s="14"/>
      <x:c r="G58" s="14"/>
      <x:c r="H58" s="14"/>
      <x:c r="I58" s="14"/>
      <x:c r="J58" s="14"/>
      <x:c r="K58" s="14"/>
      <x:c r="L58" s="12"/>
      <x:c r="M58" s="12"/>
      <x:c r="N58" s="15" t="n">
        <x:f>IF(OR(L58="Operating",L58="Investing",L58="Financing"),C58,0)</x:f>
        <x:v>0</x:v>
      </x:c>
      <x:c r="O58" s="12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4"/>
      <x:c r="D59" s="14"/>
      <x:c r="E59" s="14"/>
      <x:c r="F59" s="14"/>
      <x:c r="G59" s="14"/>
      <x:c r="H59" s="14"/>
      <x:c r="I59" s="14"/>
      <x:c r="J59" s="14"/>
      <x:c r="K59" s="14"/>
      <x:c r="L59" s="12"/>
      <x:c r="M59" s="12"/>
      <x:c r="N59" s="15" t="n">
        <x:f>IF(OR(L59="Operating",L59="Investing",L59="Financing"),C59,0)</x:f>
        <x:v>0</x:v>
      </x:c>
      <x:c r="O59" s="12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4"/>
      <x:c r="D60" s="14"/>
      <x:c r="E60" s="14"/>
      <x:c r="F60" s="14"/>
      <x:c r="G60" s="14"/>
      <x:c r="H60" s="14"/>
      <x:c r="I60" s="14"/>
      <x:c r="J60" s="14"/>
      <x:c r="K60" s="14"/>
      <x:c r="L60" s="12"/>
      <x:c r="M60" s="12"/>
      <x:c r="N60" s="15" t="n">
        <x:f>IF(OR(L60="Operating",L60="Investing",L60="Financing"),C60,0)</x:f>
        <x:v>0</x:v>
      </x:c>
      <x:c r="O60" s="12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4"/>
      <x:c r="D61" s="14"/>
      <x:c r="E61" s="14"/>
      <x:c r="F61" s="14"/>
      <x:c r="G61" s="14"/>
      <x:c r="H61" s="14"/>
      <x:c r="I61" s="14"/>
      <x:c r="J61" s="14"/>
      <x:c r="K61" s="14"/>
      <x:c r="L61" s="12"/>
      <x:c r="M61" s="12"/>
      <x:c r="N61" s="15" t="n">
        <x:f>IF(OR(L61="Operating",L61="Investing",L61="Financing"),C61,0)</x:f>
        <x:v>0</x:v>
      </x:c>
      <x:c r="O61" s="12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4"/>
      <x:c r="D62" s="14"/>
      <x:c r="E62" s="14"/>
      <x:c r="F62" s="14"/>
      <x:c r="G62" s="14"/>
      <x:c r="H62" s="14"/>
      <x:c r="I62" s="14"/>
      <x:c r="J62" s="14"/>
      <x:c r="K62" s="14"/>
      <x:c r="L62" s="12"/>
      <x:c r="M62" s="12"/>
      <x:c r="N62" s="15" t="n">
        <x:f>IF(OR(L62="Operating",L62="Investing",L62="Financing"),C62,0)</x:f>
        <x:v>0</x:v>
      </x:c>
      <x:c r="O62" s="12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4"/>
      <x:c r="D63" s="14"/>
      <x:c r="E63" s="14"/>
      <x:c r="F63" s="14"/>
      <x:c r="G63" s="14"/>
      <x:c r="H63" s="14"/>
      <x:c r="I63" s="14"/>
      <x:c r="J63" s="14"/>
      <x:c r="K63" s="14"/>
      <x:c r="L63" s="12"/>
      <x:c r="M63" s="12"/>
      <x:c r="N63" s="15" t="n">
        <x:f>IF(OR(L63="Operating",L63="Investing",L63="Financing"),C63,0)</x:f>
        <x:v>0</x:v>
      </x:c>
      <x:c r="O63" s="12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4"/>
      <x:c r="D64" s="14"/>
      <x:c r="E64" s="14"/>
      <x:c r="F64" s="14"/>
      <x:c r="G64" s="14"/>
      <x:c r="H64" s="14"/>
      <x:c r="I64" s="14"/>
      <x:c r="J64" s="14"/>
      <x:c r="K64" s="14"/>
      <x:c r="L64" s="12"/>
      <x:c r="M64" s="12"/>
      <x:c r="N64" s="15" t="n">
        <x:f>IF(OR(L64="Operating",L64="Investing",L64="Financing"),C64,0)</x:f>
        <x:v>0</x:v>
      </x:c>
      <x:c r="O64" s="12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4"/>
      <x:c r="D65" s="14"/>
      <x:c r="E65" s="14"/>
      <x:c r="F65" s="14"/>
      <x:c r="G65" s="14"/>
      <x:c r="H65" s="14"/>
      <x:c r="I65" s="14"/>
      <x:c r="J65" s="14"/>
      <x:c r="K65" s="14"/>
      <x:c r="L65" s="12"/>
      <x:c r="M65" s="12"/>
      <x:c r="N65" s="15" t="n">
        <x:f>IF(OR(L65="Operating",L65="Investing",L65="Financing"),C65,0)</x:f>
        <x:v>0</x:v>
      </x:c>
      <x:c r="O65" s="12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4"/>
      <x:c r="D66" s="14"/>
      <x:c r="E66" s="14"/>
      <x:c r="F66" s="14"/>
      <x:c r="G66" s="14"/>
      <x:c r="H66" s="14"/>
      <x:c r="I66" s="14"/>
      <x:c r="J66" s="14"/>
      <x:c r="K66" s="14"/>
      <x:c r="L66" s="12"/>
      <x:c r="M66" s="12"/>
      <x:c r="N66" s="15" t="n">
        <x:f>IF(OR(L66="Operating",L66="Investing",L66="Financing"),C66,0)</x:f>
        <x:v>0</x:v>
      </x:c>
      <x:c r="O66" s="12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4"/>
      <x:c r="D67" s="14"/>
      <x:c r="E67" s="14"/>
      <x:c r="F67" s="14"/>
      <x:c r="G67" s="14"/>
      <x:c r="H67" s="14"/>
      <x:c r="I67" s="14"/>
      <x:c r="J67" s="14"/>
      <x:c r="K67" s="14"/>
      <x:c r="L67" s="12"/>
      <x:c r="M67" s="12"/>
      <x:c r="N67" s="15" t="n">
        <x:f>IF(OR(L67="Operating",L67="Investing",L67="Financing"),C67,0)</x:f>
        <x:v>0</x:v>
      </x:c>
      <x:c r="O67" s="12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4"/>
      <x:c r="D68" s="14"/>
      <x:c r="E68" s="14"/>
      <x:c r="F68" s="14"/>
      <x:c r="G68" s="14"/>
      <x:c r="H68" s="14"/>
      <x:c r="I68" s="14"/>
      <x:c r="J68" s="14"/>
      <x:c r="K68" s="14"/>
      <x:c r="L68" s="12"/>
      <x:c r="M68" s="12"/>
      <x:c r="N68" s="15" t="n">
        <x:f>IF(OR(L68="Operating",L68="Investing",L68="Financing"),C68,0)</x:f>
        <x:v>0</x:v>
      </x:c>
      <x:c r="O68" s="12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4"/>
      <x:c r="D69" s="14"/>
      <x:c r="E69" s="14"/>
      <x:c r="F69" s="14"/>
      <x:c r="G69" s="14"/>
      <x:c r="H69" s="14"/>
      <x:c r="I69" s="14"/>
      <x:c r="J69" s="14"/>
      <x:c r="K69" s="14"/>
      <x:c r="L69" s="12"/>
      <x:c r="M69" s="12"/>
      <x:c r="N69" s="15" t="n">
        <x:f>IF(OR(L69="Operating",L69="Investing",L69="Financing"),C69,0)</x:f>
        <x:v>0</x:v>
      </x:c>
      <x:c r="O69" s="12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4"/>
      <x:c r="D70" s="14"/>
      <x:c r="E70" s="14"/>
      <x:c r="F70" s="14"/>
      <x:c r="G70" s="14"/>
      <x:c r="H70" s="14"/>
      <x:c r="I70" s="14"/>
      <x:c r="J70" s="14"/>
      <x:c r="K70" s="14"/>
      <x:c r="L70" s="12"/>
      <x:c r="M70" s="12"/>
      <x:c r="N70" s="15" t="n">
        <x:f>IF(OR(L70="Operating",L70="Investing",L70="Financing"),C70,0)</x:f>
        <x:v>0</x:v>
      </x:c>
      <x:c r="O70" s="12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4"/>
      <x:c r="D71" s="14"/>
      <x:c r="E71" s="14"/>
      <x:c r="F71" s="14"/>
      <x:c r="G71" s="14"/>
      <x:c r="H71" s="14"/>
      <x:c r="I71" s="14"/>
      <x:c r="J71" s="14"/>
      <x:c r="K71" s="14"/>
      <x:c r="L71" s="12"/>
      <x:c r="M71" s="12"/>
      <x:c r="N71" s="15" t="n">
        <x:f>IF(OR(L71="Operating",L71="Investing",L71="Financing"),C71,0)</x:f>
        <x:v>0</x:v>
      </x:c>
      <x:c r="O71" s="12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4"/>
      <x:c r="D72" s="14"/>
      <x:c r="E72" s="14"/>
      <x:c r="F72" s="14"/>
      <x:c r="G72" s="14"/>
      <x:c r="H72" s="14"/>
      <x:c r="I72" s="14"/>
      <x:c r="J72" s="14"/>
      <x:c r="K72" s="14"/>
      <x:c r="L72" s="12"/>
      <x:c r="M72" s="12"/>
      <x:c r="N72" s="15" t="n">
        <x:f>IF(OR(L72="Operating",L72="Investing",L72="Financing"),C72,0)</x:f>
        <x:v>0</x:v>
      </x:c>
      <x:c r="O72" s="12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4"/>
      <x:c r="D73" s="14"/>
      <x:c r="E73" s="14"/>
      <x:c r="F73" s="14"/>
      <x:c r="G73" s="14"/>
      <x:c r="H73" s="14"/>
      <x:c r="I73" s="14"/>
      <x:c r="J73" s="14"/>
      <x:c r="K73" s="14"/>
      <x:c r="L73" s="12"/>
      <x:c r="M73" s="12"/>
      <x:c r="N73" s="15" t="n">
        <x:f>IF(OR(L73="Operating",L73="Investing",L73="Financing"),C73,0)</x:f>
        <x:v>0</x:v>
      </x:c>
      <x:c r="O73" s="12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4"/>
      <x:c r="D74" s="14"/>
      <x:c r="E74" s="14"/>
      <x:c r="F74" s="14"/>
      <x:c r="G74" s="14"/>
      <x:c r="H74" s="14"/>
      <x:c r="I74" s="14"/>
      <x:c r="J74" s="14"/>
      <x:c r="K74" s="14"/>
      <x:c r="L74" s="12"/>
      <x:c r="M74" s="12"/>
      <x:c r="N74" s="15" t="n">
        <x:f>IF(OR(L74="Operating",L74="Investing",L74="Financing"),C74,0)</x:f>
        <x:v>0</x:v>
      </x:c>
      <x:c r="O74" s="12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4"/>
      <x:c r="D75" s="14"/>
      <x:c r="E75" s="14"/>
      <x:c r="F75" s="14"/>
      <x:c r="G75" s="14"/>
      <x:c r="H75" s="14"/>
      <x:c r="I75" s="14"/>
      <x:c r="J75" s="14"/>
      <x:c r="K75" s="14"/>
      <x:c r="L75" s="12"/>
      <x:c r="M75" s="12"/>
      <x:c r="N75" s="15" t="n">
        <x:f>IF(OR(L75="Operating",L75="Investing",L75="Financing"),C75,0)</x:f>
        <x:v>0</x:v>
      </x:c>
      <x:c r="O75" s="12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4"/>
      <x:c r="D76" s="14"/>
      <x:c r="E76" s="14"/>
      <x:c r="F76" s="14"/>
      <x:c r="G76" s="14"/>
      <x:c r="H76" s="14"/>
      <x:c r="I76" s="14"/>
      <x:c r="J76" s="14"/>
      <x:c r="K76" s="14"/>
      <x:c r="L76" s="12"/>
      <x:c r="M76" s="12"/>
      <x:c r="N76" s="15" t="n">
        <x:f>IF(OR(L76="Operating",L76="Investing",L76="Financing"),C76,0)</x:f>
        <x:v>0</x:v>
      </x:c>
      <x:c r="O76" s="12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4"/>
      <x:c r="D77" s="14"/>
      <x:c r="E77" s="14"/>
      <x:c r="F77" s="14"/>
      <x:c r="G77" s="14"/>
      <x:c r="H77" s="14"/>
      <x:c r="I77" s="14"/>
      <x:c r="J77" s="14"/>
      <x:c r="K77" s="14"/>
      <x:c r="L77" s="12"/>
      <x:c r="M77" s="12"/>
      <x:c r="N77" s="15" t="n">
        <x:f>IF(OR(L77="Operating",L77="Investing",L77="Financing"),C77,0)</x:f>
        <x:v>0</x:v>
      </x:c>
      <x:c r="O77" s="12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4"/>
      <x:c r="D78" s="14"/>
      <x:c r="E78" s="14"/>
      <x:c r="F78" s="14"/>
      <x:c r="G78" s="14"/>
      <x:c r="H78" s="14"/>
      <x:c r="I78" s="14"/>
      <x:c r="J78" s="14"/>
      <x:c r="K78" s="14"/>
      <x:c r="L78" s="12"/>
      <x:c r="M78" s="12"/>
      <x:c r="N78" s="15" t="n">
        <x:f>IF(OR(L78="Operating",L78="Investing",L78="Financing"),C78,0)</x:f>
        <x:v>0</x:v>
      </x:c>
      <x:c r="O78" s="12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4"/>
      <x:c r="D79" s="14"/>
      <x:c r="E79" s="14"/>
      <x:c r="F79" s="14"/>
      <x:c r="G79" s="14"/>
      <x:c r="H79" s="14"/>
      <x:c r="I79" s="14"/>
      <x:c r="J79" s="14"/>
      <x:c r="K79" s="14"/>
      <x:c r="L79" s="12"/>
      <x:c r="M79" s="12"/>
      <x:c r="N79" s="15" t="n">
        <x:f>IF(OR(L79="Operating",L79="Investing",L79="Financing"),C79,0)</x:f>
        <x:v>0</x:v>
      </x:c>
      <x:c r="O79" s="12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4"/>
      <x:c r="D80" s="14"/>
      <x:c r="E80" s="14"/>
      <x:c r="F80" s="14"/>
      <x:c r="G80" s="14"/>
      <x:c r="H80" s="14"/>
      <x:c r="I80" s="14"/>
      <x:c r="J80" s="14"/>
      <x:c r="K80" s="14"/>
      <x:c r="L80" s="12"/>
      <x:c r="M80" s="12"/>
      <x:c r="N80" s="15" t="n">
        <x:f>IF(OR(L80="Operating",L80="Investing",L80="Financing"),C80,0)</x:f>
        <x:v>0</x:v>
      </x:c>
      <x:c r="O80" s="12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4"/>
      <x:c r="D81" s="14"/>
      <x:c r="E81" s="14"/>
      <x:c r="F81" s="14"/>
      <x:c r="G81" s="14"/>
      <x:c r="H81" s="14"/>
      <x:c r="I81" s="14"/>
      <x:c r="J81" s="14"/>
      <x:c r="K81" s="14"/>
      <x:c r="L81" s="12"/>
      <x:c r="M81" s="12"/>
      <x:c r="N81" s="15" t="n">
        <x:f>IF(OR(L81="Operating",L81="Investing",L81="Financing"),C81,0)</x:f>
        <x:v>0</x:v>
      </x:c>
      <x:c r="O81" s="12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4"/>
      <x:c r="D82" s="14"/>
      <x:c r="E82" s="14"/>
      <x:c r="F82" s="14"/>
      <x:c r="G82" s="14"/>
      <x:c r="H82" s="14"/>
      <x:c r="I82" s="14"/>
      <x:c r="J82" s="14"/>
      <x:c r="K82" s="14"/>
      <x:c r="L82" s="12"/>
      <x:c r="M82" s="12"/>
      <x:c r="N82" s="15" t="n">
        <x:f>IF(OR(L82="Operating",L82="Investing",L82="Financing"),C82,0)</x:f>
        <x:v>0</x:v>
      </x:c>
      <x:c r="O82" s="12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4"/>
      <x:c r="D83" s="14"/>
      <x:c r="E83" s="14"/>
      <x:c r="F83" s="14"/>
      <x:c r="G83" s="14"/>
      <x:c r="H83" s="14"/>
      <x:c r="I83" s="14"/>
      <x:c r="J83" s="14"/>
      <x:c r="K83" s="14"/>
      <x:c r="L83" s="12"/>
      <x:c r="M83" s="12"/>
      <x:c r="N83" s="15" t="n">
        <x:f>IF(OR(L83="Operating",L83="Investing",L83="Financing"),C83,0)</x:f>
        <x:v>0</x:v>
      </x:c>
      <x:c r="O83" s="12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4"/>
      <x:c r="D84" s="14"/>
      <x:c r="E84" s="14"/>
      <x:c r="F84" s="14"/>
      <x:c r="G84" s="14"/>
      <x:c r="H84" s="14"/>
      <x:c r="I84" s="14"/>
      <x:c r="J84" s="14"/>
      <x:c r="K84" s="14"/>
      <x:c r="L84" s="12"/>
      <x:c r="M84" s="12"/>
      <x:c r="N84" s="15" t="n">
        <x:f>IF(OR(L84="Operating",L84="Investing",L84="Financing"),C84,0)</x:f>
        <x:v>0</x:v>
      </x:c>
      <x:c r="O84" s="12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4"/>
      <x:c r="D85" s="14"/>
      <x:c r="E85" s="14"/>
      <x:c r="F85" s="14"/>
      <x:c r="G85" s="14"/>
      <x:c r="H85" s="14"/>
      <x:c r="I85" s="14"/>
      <x:c r="J85" s="14"/>
      <x:c r="K85" s="14"/>
      <x:c r="L85" s="12"/>
      <x:c r="M85" s="12"/>
      <x:c r="N85" s="15" t="n">
        <x:f>IF(OR(L85="Operating",L85="Investing",L85="Financing"),C85,0)</x:f>
        <x:v>0</x:v>
      </x:c>
      <x:c r="O85" s="12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4"/>
      <x:c r="D86" s="14"/>
      <x:c r="E86" s="14"/>
      <x:c r="F86" s="14"/>
      <x:c r="G86" s="14"/>
      <x:c r="H86" s="14"/>
      <x:c r="I86" s="14"/>
      <x:c r="J86" s="14"/>
      <x:c r="K86" s="14"/>
      <x:c r="L86" s="12"/>
      <x:c r="M86" s="12"/>
      <x:c r="N86" s="15" t="n">
        <x:f>IF(OR(L86="Operating",L86="Investing",L86="Financing"),C86,0)</x:f>
        <x:v>0</x:v>
      </x:c>
      <x:c r="O86" s="12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4"/>
      <x:c r="D87" s="14"/>
      <x:c r="E87" s="14"/>
      <x:c r="F87" s="14"/>
      <x:c r="G87" s="14"/>
      <x:c r="H87" s="14"/>
      <x:c r="I87" s="14"/>
      <x:c r="J87" s="14"/>
      <x:c r="K87" s="14"/>
      <x:c r="L87" s="12"/>
      <x:c r="M87" s="12"/>
      <x:c r="N87" s="15" t="n">
        <x:f>IF(OR(L87="Operating",L87="Investing",L87="Financing"),C87,0)</x:f>
        <x:v>0</x:v>
      </x:c>
      <x:c r="O87" s="12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4"/>
      <x:c r="D88" s="14"/>
      <x:c r="E88" s="14"/>
      <x:c r="F88" s="14"/>
      <x:c r="G88" s="14"/>
      <x:c r="H88" s="14"/>
      <x:c r="I88" s="14"/>
      <x:c r="J88" s="14"/>
      <x:c r="K88" s="14"/>
      <x:c r="L88" s="12"/>
      <x:c r="M88" s="12"/>
      <x:c r="N88" s="15" t="n">
        <x:f>IF(OR(L88="Operating",L88="Investing",L88="Financing"),C88,0)</x:f>
        <x:v>0</x:v>
      </x:c>
      <x:c r="O88" s="12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4"/>
      <x:c r="D89" s="14"/>
      <x:c r="E89" s="14"/>
      <x:c r="F89" s="14"/>
      <x:c r="G89" s="14"/>
      <x:c r="H89" s="14"/>
      <x:c r="I89" s="14"/>
      <x:c r="J89" s="14"/>
      <x:c r="K89" s="14"/>
      <x:c r="L89" s="12"/>
      <x:c r="M89" s="12"/>
      <x:c r="N89" s="15" t="n">
        <x:f>IF(OR(L89="Operating",L89="Investing",L89="Financing"),C89,0)</x:f>
        <x:v>0</x:v>
      </x:c>
      <x:c r="O89" s="12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4"/>
      <x:c r="D90" s="14"/>
      <x:c r="E90" s="14"/>
      <x:c r="F90" s="14"/>
      <x:c r="G90" s="14"/>
      <x:c r="H90" s="14"/>
      <x:c r="I90" s="14"/>
      <x:c r="J90" s="14"/>
      <x:c r="K90" s="14"/>
      <x:c r="L90" s="12"/>
      <x:c r="M90" s="12"/>
      <x:c r="N90" s="15" t="n">
        <x:f>IF(OR(L90="Operating",L90="Investing",L90="Financing"),C90,0)</x:f>
        <x:v>0</x:v>
      </x:c>
      <x:c r="O90" s="12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4"/>
      <x:c r="D91" s="14"/>
      <x:c r="E91" s="14"/>
      <x:c r="F91" s="14"/>
      <x:c r="G91" s="14"/>
      <x:c r="H91" s="14"/>
      <x:c r="I91" s="14"/>
      <x:c r="J91" s="14"/>
      <x:c r="K91" s="14"/>
      <x:c r="L91" s="12"/>
      <x:c r="M91" s="12"/>
      <x:c r="N91" s="15" t="n">
        <x:f>IF(OR(L91="Operating",L91="Investing",L91="Financing"),C91,0)</x:f>
        <x:v>0</x:v>
      </x:c>
      <x:c r="O91" s="12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4"/>
      <x:c r="D92" s="14"/>
      <x:c r="E92" s="14"/>
      <x:c r="F92" s="14"/>
      <x:c r="G92" s="14"/>
      <x:c r="H92" s="14"/>
      <x:c r="I92" s="14"/>
      <x:c r="J92" s="14"/>
      <x:c r="K92" s="14"/>
      <x:c r="L92" s="12"/>
      <x:c r="M92" s="12"/>
      <x:c r="N92" s="15" t="n">
        <x:f>IF(OR(L92="Operating",L92="Investing",L92="Financing"),C92,0)</x:f>
        <x:v>0</x:v>
      </x:c>
      <x:c r="O92" s="12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4"/>
      <x:c r="D93" s="14"/>
      <x:c r="E93" s="14"/>
      <x:c r="F93" s="14"/>
      <x:c r="G93" s="14"/>
      <x:c r="H93" s="14"/>
      <x:c r="I93" s="14"/>
      <x:c r="J93" s="14"/>
      <x:c r="K93" s="14"/>
      <x:c r="L93" s="12"/>
      <x:c r="M93" s="12"/>
      <x:c r="N93" s="15" t="n">
        <x:f>IF(OR(L93="Operating",L93="Investing",L93="Financing"),C93,0)</x:f>
        <x:v>0</x:v>
      </x:c>
      <x:c r="O93" s="12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4"/>
      <x:c r="D94" s="14"/>
      <x:c r="E94" s="14"/>
      <x:c r="F94" s="14"/>
      <x:c r="G94" s="14"/>
      <x:c r="H94" s="14"/>
      <x:c r="I94" s="14"/>
      <x:c r="J94" s="14"/>
      <x:c r="K94" s="14"/>
      <x:c r="L94" s="12"/>
      <x:c r="M94" s="12"/>
      <x:c r="N94" s="15" t="n">
        <x:f>IF(OR(L94="Operating",L94="Investing",L94="Financing"),C94,0)</x:f>
        <x:v>0</x:v>
      </x:c>
      <x:c r="O94" s="12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4"/>
      <x:c r="D95" s="14"/>
      <x:c r="E95" s="14"/>
      <x:c r="F95" s="14"/>
      <x:c r="G95" s="14"/>
      <x:c r="H95" s="14"/>
      <x:c r="I95" s="14"/>
      <x:c r="J95" s="14"/>
      <x:c r="K95" s="14"/>
      <x:c r="L95" s="12"/>
      <x:c r="M95" s="12"/>
      <x:c r="N95" s="15" t="n">
        <x:f>IF(OR(L95="Operating",L95="Investing",L95="Financing"),C95,0)</x:f>
        <x:v>0</x:v>
      </x:c>
      <x:c r="O95" s="12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4"/>
      <x:c r="D96" s="14"/>
      <x:c r="E96" s="14"/>
      <x:c r="F96" s="14"/>
      <x:c r="G96" s="14"/>
      <x:c r="H96" s="14"/>
      <x:c r="I96" s="14"/>
      <x:c r="J96" s="14"/>
      <x:c r="K96" s="14"/>
      <x:c r="L96" s="12"/>
      <x:c r="M96" s="12"/>
      <x:c r="N96" s="15" t="n">
        <x:f>IF(OR(L96="Operating",L96="Investing",L96="Financing"),C96,0)</x:f>
        <x:v>0</x:v>
      </x:c>
      <x:c r="O96" s="12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4"/>
      <x:c r="D97" s="14"/>
      <x:c r="E97" s="14"/>
      <x:c r="F97" s="14"/>
      <x:c r="G97" s="14"/>
      <x:c r="H97" s="14"/>
      <x:c r="I97" s="14"/>
      <x:c r="J97" s="14"/>
      <x:c r="K97" s="14"/>
      <x:c r="L97" s="12"/>
      <x:c r="M97" s="12"/>
      <x:c r="N97" s="15" t="n">
        <x:f>IF(OR(L97="Operating",L97="Investing",L97="Financing"),C97,0)</x:f>
        <x:v>0</x:v>
      </x:c>
      <x:c r="O97" s="12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4"/>
      <x:c r="D98" s="14"/>
      <x:c r="E98" s="14"/>
      <x:c r="F98" s="14"/>
      <x:c r="G98" s="14"/>
      <x:c r="H98" s="14"/>
      <x:c r="I98" s="14"/>
      <x:c r="J98" s="14"/>
      <x:c r="K98" s="14"/>
      <x:c r="L98" s="12"/>
      <x:c r="M98" s="12"/>
      <x:c r="N98" s="15" t="n">
        <x:f>IF(OR(L98="Operating",L98="Investing",L98="Financing"),C98,0)</x:f>
        <x:v>0</x:v>
      </x:c>
      <x:c r="O98" s="12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4"/>
      <x:c r="D99" s="14"/>
      <x:c r="E99" s="14"/>
      <x:c r="F99" s="14"/>
      <x:c r="G99" s="14"/>
      <x:c r="H99" s="14"/>
      <x:c r="I99" s="14"/>
      <x:c r="J99" s="14"/>
      <x:c r="K99" s="14"/>
      <x:c r="L99" s="12"/>
      <x:c r="M99" s="12"/>
      <x:c r="N99" s="15" t="n">
        <x:f>IF(OR(L99="Operating",L99="Investing",L99="Financing"),C99,0)</x:f>
        <x:v>0</x:v>
      </x:c>
      <x:c r="O99" s="12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2"/>
      <x:c r="M100" s="12"/>
      <x:c r="N100" s="15" t="n">
        <x:f>IF(OR(L100="Operating",L100="Investing",L100="Financing"),C100,0)</x:f>
        <x:v>0</x:v>
      </x:c>
      <x:c r="O100" s="12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2"/>
      <x:c r="M101" s="12"/>
      <x:c r="N101" s="15" t="n">
        <x:f>IF(OR(L101="Operating",L101="Investing",L101="Financing"),C101,0)</x:f>
        <x:v>0</x:v>
      </x:c>
      <x:c r="O101" s="12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2"/>
      <x:c r="M102" s="12"/>
      <x:c r="N102" s="15" t="n">
        <x:f>IF(OR(L102="Operating",L102="Investing",L102="Financing"),C102,0)</x:f>
        <x:v>0</x:v>
      </x:c>
      <x:c r="O102" s="12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2"/>
      <x:c r="M103" s="12"/>
      <x:c r="N103" s="15" t="n">
        <x:f>IF(OR(L103="Operating",L103="Investing",L103="Financing"),C103,0)</x:f>
        <x:v>0</x:v>
      </x:c>
      <x:c r="O103" s="12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2"/>
      <x:c r="M104" s="12"/>
      <x:c r="N104" s="15" t="n">
        <x:f>IF(OR(L104="Operating",L104="Investing",L104="Financing"),C104,0)</x:f>
        <x:v>0</x:v>
      </x:c>
      <x:c r="O104" s="12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2"/>
      <x:c r="M105" s="12"/>
      <x:c r="N105" s="15" t="n">
        <x:f>IF(OR(L105="Operating",L105="Investing",L105="Financing"),C105,0)</x:f>
        <x:v>0</x:v>
      </x:c>
      <x:c r="O105" s="12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2"/>
      <x:c r="M106" s="12"/>
      <x:c r="N106" s="15" t="n">
        <x:f>IF(OR(L106="Operating",L106="Investing",L106="Financing"),C106,0)</x:f>
        <x:v>0</x:v>
      </x:c>
      <x:c r="O106" s="12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2"/>
      <x:c r="M107" s="12"/>
      <x:c r="N107" s="15" t="n">
        <x:f>IF(OR(L107="Operating",L107="Investing",L107="Financing"),C107,0)</x:f>
        <x:v>0</x:v>
      </x:c>
      <x:c r="O107" s="12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2"/>
      <x:c r="M108" s="12"/>
      <x:c r="N108" s="15" t="n">
        <x:f>IF(OR(L108="Operating",L108="Investing",L108="Financing"),C108,0)</x:f>
        <x:v>0</x:v>
      </x:c>
      <x:c r="O108" s="12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2"/>
      <x:c r="M109" s="12"/>
      <x:c r="N109" s="15" t="n">
        <x:f>IF(OR(L109="Operating",L109="Investing",L109="Financing"),C109,0)</x:f>
        <x:v>0</x:v>
      </x:c>
      <x:c r="O109" s="12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2"/>
      <x:c r="M110" s="12"/>
      <x:c r="N110" s="15" t="n">
        <x:f>IF(OR(L110="Operating",L110="Investing",L110="Financing"),C110,0)</x:f>
        <x:v>0</x:v>
      </x:c>
      <x:c r="O110" s="12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2"/>
      <x:c r="M111" s="12"/>
      <x:c r="N111" s="15" t="n">
        <x:f>IF(OR(L111="Operating",L111="Investing",L111="Financing"),C111,0)</x:f>
        <x:v>0</x:v>
      </x:c>
      <x:c r="O111" s="12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2"/>
      <x:c r="M112" s="12"/>
      <x:c r="N112" s="15" t="n">
        <x:f>IF(OR(L112="Operating",L112="Investing",L112="Financing"),C112,0)</x:f>
        <x:v>0</x:v>
      </x:c>
      <x:c r="O112" s="12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2"/>
      <x:c r="M113" s="12"/>
      <x:c r="N113" s="15" t="n">
        <x:f>IF(OR(L113="Operating",L113="Investing",L113="Financing"),C113,0)</x:f>
        <x:v>0</x:v>
      </x:c>
      <x:c r="O113" s="12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2"/>
      <x:c r="M114" s="12"/>
      <x:c r="N114" s="15" t="n">
        <x:f>IF(OR(L114="Operating",L114="Investing",L114="Financing"),C114,0)</x:f>
        <x:v>0</x:v>
      </x:c>
      <x:c r="O114" s="12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2"/>
      <x:c r="M115" s="12"/>
      <x:c r="N115" s="15" t="n">
        <x:f>IF(OR(L115="Operating",L115="Investing",L115="Financing"),C115,0)</x:f>
        <x:v>0</x:v>
      </x:c>
      <x:c r="O115" s="12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2"/>
      <x:c r="M116" s="12"/>
      <x:c r="N116" s="15" t="n">
        <x:f>IF(OR(L116="Operating",L116="Investing",L116="Financing"),C116,0)</x:f>
        <x:v>0</x:v>
      </x:c>
      <x:c r="O116" s="12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2"/>
      <x:c r="M117" s="12"/>
      <x:c r="N117" s="15" t="n">
        <x:f>IF(OR(L117="Operating",L117="Investing",L117="Financing"),C117,0)</x:f>
        <x:v>0</x:v>
      </x:c>
      <x:c r="O117" s="12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2"/>
      <x:c r="M118" s="12"/>
      <x:c r="N118" s="15" t="n">
        <x:f>IF(OR(L118="Operating",L118="Investing",L118="Financing"),C118,0)</x:f>
        <x:v>0</x:v>
      </x:c>
      <x:c r="O118" s="12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2"/>
      <x:c r="M119" s="12"/>
      <x:c r="N119" s="15" t="n">
        <x:f>IF(OR(L119="Operating",L119="Investing",L119="Financing"),C119,0)</x:f>
        <x:v>0</x:v>
      </x:c>
      <x:c r="O119" s="12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2"/>
      <x:c r="M120" s="12"/>
      <x:c r="N120" s="15" t="n">
        <x:f>IF(OR(L120="Operating",L120="Investing",L120="Financing"),C120,0)</x:f>
        <x:v>0</x:v>
      </x:c>
      <x:c r="O120" s="12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2"/>
      <x:c r="M121" s="12"/>
      <x:c r="N121" s="15" t="n">
        <x:f>IF(OR(L121="Operating",L121="Investing",L121="Financing"),C121,0)</x:f>
        <x:v>0</x:v>
      </x:c>
      <x:c r="O121" s="12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2"/>
      <x:c r="M122" s="12"/>
      <x:c r="N122" s="15" t="n">
        <x:f>IF(OR(L122="Operating",L122="Investing",L122="Financing"),C122,0)</x:f>
        <x:v>0</x:v>
      </x:c>
      <x:c r="O122" s="12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2"/>
      <x:c r="M123" s="12"/>
      <x:c r="N123" s="15" t="n">
        <x:f>IF(OR(L123="Operating",L123="Investing",L123="Financing"),C123,0)</x:f>
        <x:v>0</x:v>
      </x:c>
      <x:c r="O123" s="12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2"/>
      <x:c r="M124" s="12"/>
      <x:c r="N124" s="15" t="n">
        <x:f>IF(OR(L124="Operating",L124="Investing",L124="Financing"),C124,0)</x:f>
        <x:v>0</x:v>
      </x:c>
      <x:c r="O124" s="12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2"/>
      <x:c r="M125" s="12"/>
      <x:c r="N125" s="15" t="n">
        <x:f>IF(OR(L125="Operating",L125="Investing",L125="Financing"),C125,0)</x:f>
        <x:v>0</x:v>
      </x:c>
      <x:c r="O125" s="12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2"/>
      <x:c r="M126" s="12"/>
      <x:c r="N126" s="15" t="n">
        <x:f>IF(OR(L126="Operating",L126="Investing",L126="Financing"),C126,0)</x:f>
        <x:v>0</x:v>
      </x:c>
      <x:c r="O126" s="12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2"/>
      <x:c r="M127" s="12"/>
      <x:c r="N127" s="15" t="n">
        <x:f>IF(OR(L127="Operating",L127="Investing",L127="Financing"),C127,0)</x:f>
        <x:v>0</x:v>
      </x:c>
      <x:c r="O127" s="12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2"/>
      <x:c r="M128" s="12"/>
      <x:c r="N128" s="15" t="n">
        <x:f>IF(OR(L128="Operating",L128="Investing",L128="Financing"),C128,0)</x:f>
        <x:v>0</x:v>
      </x:c>
      <x:c r="O128" s="12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2"/>
      <x:c r="M129" s="12"/>
      <x:c r="N129" s="15" t="n">
        <x:f>IF(OR(L129="Operating",L129="Investing",L129="Financing"),C129,0)</x:f>
        <x:v>0</x:v>
      </x:c>
      <x:c r="O129" s="12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2"/>
      <x:c r="M130" s="12"/>
      <x:c r="N130" s="15" t="n">
        <x:f>IF(OR(L130="Operating",L130="Investing",L130="Financing"),C130,0)</x:f>
        <x:v>0</x:v>
      </x:c>
      <x:c r="O130" s="12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2"/>
      <x:c r="M131" s="12"/>
      <x:c r="N131" s="15" t="n">
        <x:f>IF(OR(L131="Operating",L131="Investing",L131="Financing"),C131,0)</x:f>
        <x:v>0</x:v>
      </x:c>
      <x:c r="O131" s="12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2"/>
      <x:c r="M132" s="12"/>
      <x:c r="N132" s="15" t="n">
        <x:f>IF(OR(L132="Operating",L132="Investing",L132="Financing"),C132,0)</x:f>
        <x:v>0</x:v>
      </x:c>
      <x:c r="O132" s="12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2"/>
      <x:c r="M133" s="12"/>
      <x:c r="N133" s="15" t="n">
        <x:f>IF(OR(L133="Operating",L133="Investing",L133="Financing"),C133,0)</x:f>
        <x:v>0</x:v>
      </x:c>
      <x:c r="O133" s="12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2"/>
      <x:c r="M134" s="12"/>
      <x:c r="N134" s="15" t="n">
        <x:f>IF(OR(L134="Operating",L134="Investing",L134="Financing"),C134,0)</x:f>
        <x:v>0</x:v>
      </x:c>
      <x:c r="O134" s="12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2"/>
      <x:c r="M135" s="12"/>
      <x:c r="N135" s="15" t="n">
        <x:f>IF(OR(L135="Operating",L135="Investing",L135="Financing"),C135,0)</x:f>
        <x:v>0</x:v>
      </x:c>
      <x:c r="O135" s="12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2"/>
      <x:c r="M136" s="12"/>
      <x:c r="N136" s="15" t="n">
        <x:f>IF(OR(L136="Operating",L136="Investing",L136="Financing"),C136,0)</x:f>
        <x:v>0</x:v>
      </x:c>
      <x:c r="O136" s="12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2"/>
      <x:c r="M137" s="12"/>
      <x:c r="N137" s="15" t="n">
        <x:f>IF(OR(L137="Operating",L137="Investing",L137="Financing"),C137,0)</x:f>
        <x:v>0</x:v>
      </x:c>
      <x:c r="O137" s="12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2"/>
      <x:c r="M138" s="12"/>
      <x:c r="N138" s="15" t="n">
        <x:f>IF(OR(L138="Operating",L138="Investing",L138="Financing"),C138,0)</x:f>
        <x:v>0</x:v>
      </x:c>
      <x:c r="O138" s="12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2"/>
      <x:c r="M139" s="12"/>
      <x:c r="N139" s="15" t="n">
        <x:f>IF(OR(L139="Operating",L139="Investing",L139="Financing"),C139,0)</x:f>
        <x:v>0</x:v>
      </x:c>
      <x:c r="O139" s="12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2"/>
      <x:c r="M140" s="12"/>
      <x:c r="N140" s="15" t="n">
        <x:f>IF(OR(L140="Operating",L140="Investing",L140="Financing"),C140,0)</x:f>
        <x:v>0</x:v>
      </x:c>
      <x:c r="O140" s="12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2"/>
      <x:c r="M141" s="12"/>
      <x:c r="N141" s="15" t="n">
        <x:f>IF(OR(L141="Operating",L141="Investing",L141="Financing"),C141,0)</x:f>
        <x:v>0</x:v>
      </x:c>
      <x:c r="O141" s="12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2"/>
      <x:c r="M142" s="12"/>
      <x:c r="N142" s="15" t="n">
        <x:f>IF(OR(L142="Operating",L142="Investing",L142="Financing"),C142,0)</x:f>
        <x:v>0</x:v>
      </x:c>
      <x:c r="O142" s="12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2"/>
      <x:c r="M143" s="12"/>
      <x:c r="N143" s="15" t="n">
        <x:f>IF(OR(L143="Operating",L143="Investing",L143="Financing"),C143,0)</x:f>
        <x:v>0</x:v>
      </x:c>
      <x:c r="O143" s="12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2"/>
      <x:c r="M144" s="12"/>
      <x:c r="N144" s="15" t="n">
        <x:f>IF(OR(L144="Operating",L144="Investing",L144="Financing"),C144,0)</x:f>
        <x:v>0</x:v>
      </x:c>
      <x:c r="O144" s="12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2"/>
      <x:c r="M145" s="12"/>
      <x:c r="N145" s="15" t="n">
        <x:f>IF(OR(L145="Operating",L145="Investing",L145="Financing"),C145,0)</x:f>
        <x:v>0</x:v>
      </x:c>
      <x:c r="O145" s="12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2"/>
      <x:c r="M146" s="12"/>
      <x:c r="N146" s="15" t="n">
        <x:f>IF(OR(L146="Operating",L146="Investing",L146="Financing"),C146,0)</x:f>
        <x:v>0</x:v>
      </x:c>
      <x:c r="O146" s="12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2"/>
      <x:c r="M147" s="12"/>
      <x:c r="N147" s="15" t="n">
        <x:f>IF(OR(L147="Operating",L147="Investing",L147="Financing"),C147,0)</x:f>
        <x:v>0</x:v>
      </x:c>
      <x:c r="O147" s="12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2"/>
      <x:c r="M148" s="12"/>
      <x:c r="N148" s="15" t="n">
        <x:f>IF(OR(L148="Operating",L148="Investing",L148="Financing"),C148,0)</x:f>
        <x:v>0</x:v>
      </x:c>
      <x:c r="O148" s="12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2"/>
      <x:c r="M149" s="12"/>
      <x:c r="N149" s="15" t="n">
        <x:f>IF(OR(L149="Operating",L149="Investing",L149="Financing"),C149,0)</x:f>
        <x:v>0</x:v>
      </x:c>
      <x:c r="O149" s="12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2"/>
      <x:c r="M150" s="12"/>
      <x:c r="N150" s="15" t="n">
        <x:f>IF(OR(L150="Operating",L150="Investing",L150="Financing"),C150,0)</x:f>
        <x:v>0</x:v>
      </x:c>
      <x:c r="O150" s="12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2"/>
      <x:c r="M151" s="12"/>
      <x:c r="N151" s="15" t="n">
        <x:f>IF(OR(L151="Operating",L151="Investing",L151="Financing"),C151,0)</x:f>
        <x:v>0</x:v>
      </x:c>
      <x:c r="O151" s="12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2"/>
      <x:c r="M152" s="12"/>
      <x:c r="N152" s="15" t="n">
        <x:f>IF(OR(L152="Operating",L152="Investing",L152="Financing"),C152,0)</x:f>
        <x:v>0</x:v>
      </x:c>
      <x:c r="O152" s="12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2"/>
      <x:c r="M153" s="12"/>
      <x:c r="N153" s="15" t="n">
        <x:f>IF(OR(L153="Operating",L153="Investing",L153="Financing"),C153,0)</x:f>
        <x:v>0</x:v>
      </x:c>
      <x:c r="O153" s="12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2"/>
      <x:c r="M154" s="12"/>
      <x:c r="N154" s="15" t="n">
        <x:f>IF(OR(L154="Operating",L154="Investing",L154="Financing"),C154,0)</x:f>
        <x:v>0</x:v>
      </x:c>
      <x:c r="O154" s="12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2"/>
      <x:c r="M155" s="12"/>
      <x:c r="N155" s="15" t="n">
        <x:f>IF(OR(L155="Operating",L155="Investing",L155="Financing"),C155,0)</x:f>
        <x:v>0</x:v>
      </x:c>
      <x:c r="O155" s="12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2"/>
      <x:c r="M156" s="12"/>
      <x:c r="N156" s="15" t="n">
        <x:f>IF(OR(L156="Operating",L156="Investing",L156="Financing"),C156,0)</x:f>
        <x:v>0</x:v>
      </x:c>
      <x:c r="O156" s="12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2"/>
      <x:c r="M157" s="12"/>
      <x:c r="N157" s="15" t="n">
        <x:f>IF(OR(L157="Operating",L157="Investing",L157="Financing"),C157,0)</x:f>
        <x:v>0</x:v>
      </x:c>
      <x:c r="O157" s="12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2"/>
      <x:c r="M158" s="12"/>
      <x:c r="N158" s="15" t="n">
        <x:f>IF(OR(L158="Operating",L158="Investing",L158="Financing"),C158,0)</x:f>
        <x:v>0</x:v>
      </x:c>
      <x:c r="O158" s="12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2"/>
      <x:c r="M159" s="12"/>
      <x:c r="N159" s="15" t="n">
        <x:f>IF(OR(L159="Operating",L159="Investing",L159="Financing"),C159,0)</x:f>
        <x:v>0</x:v>
      </x:c>
      <x:c r="O159" s="12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2"/>
      <x:c r="M160" s="12"/>
      <x:c r="N160" s="15" t="n">
        <x:f>IF(OR(L160="Operating",L160="Investing",L160="Financing"),C160,0)</x:f>
        <x:v>0</x:v>
      </x:c>
      <x:c r="O160" s="12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2"/>
      <x:c r="M161" s="12"/>
      <x:c r="N161" s="15" t="n">
        <x:f>IF(OR(L161="Operating",L161="Investing",L161="Financing"),C161,0)</x:f>
        <x:v>0</x:v>
      </x:c>
      <x:c r="O161" s="12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2"/>
      <x:c r="M162" s="12"/>
      <x:c r="N162" s="15" t="n">
        <x:f>IF(OR(L162="Operating",L162="Investing",L162="Financing"),C162,0)</x:f>
        <x:v>0</x:v>
      </x:c>
      <x:c r="O162" s="12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2"/>
      <x:c r="M163" s="12"/>
      <x:c r="N163" s="15" t="n">
        <x:f>IF(OR(L163="Operating",L163="Investing",L163="Financing"),C163,0)</x:f>
        <x:v>0</x:v>
      </x:c>
      <x:c r="O163" s="12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2"/>
      <x:c r="M164" s="12"/>
      <x:c r="N164" s="15" t="n">
        <x:f>IF(OR(L164="Operating",L164="Investing",L164="Financing"),C164,0)</x:f>
        <x:v>0</x:v>
      </x:c>
      <x:c r="O164" s="12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2"/>
      <x:c r="M165" s="12"/>
      <x:c r="N165" s="15" t="n">
        <x:f>IF(OR(L165="Operating",L165="Investing",L165="Financing"),C165,0)</x:f>
        <x:v>0</x:v>
      </x:c>
      <x:c r="O165" s="12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2"/>
      <x:c r="M166" s="12"/>
      <x:c r="N166" s="15" t="n">
        <x:f>IF(OR(L166="Operating",L166="Investing",L166="Financing"),C166,0)</x:f>
        <x:v>0</x:v>
      </x:c>
      <x:c r="O166" s="12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2"/>
      <x:c r="M167" s="12"/>
      <x:c r="N167" s="15" t="n">
        <x:f>IF(OR(L167="Operating",L167="Investing",L167="Financing"),C167,0)</x:f>
        <x:v>0</x:v>
      </x:c>
      <x:c r="O167" s="12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2"/>
      <x:c r="M168" s="12"/>
      <x:c r="N168" s="15" t="n">
        <x:f>IF(OR(L168="Operating",L168="Investing",L168="Financing"),C168,0)</x:f>
        <x:v>0</x:v>
      </x:c>
      <x:c r="O168" s="12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2"/>
      <x:c r="M169" s="12"/>
      <x:c r="N169" s="15" t="n">
        <x:f>IF(OR(L169="Operating",L169="Investing",L169="Financing"),C169,0)</x:f>
        <x:v>0</x:v>
      </x:c>
      <x:c r="O169" s="12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2"/>
      <x:c r="M170" s="12"/>
      <x:c r="N170" s="15" t="n">
        <x:f>IF(OR(L170="Operating",L170="Investing",L170="Financing"),C170,0)</x:f>
        <x:v>0</x:v>
      </x:c>
      <x:c r="O170" s="12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2"/>
      <x:c r="M171" s="12"/>
      <x:c r="N171" s="15" t="n">
        <x:f>IF(OR(L171="Operating",L171="Investing",L171="Financing"),C171,0)</x:f>
        <x:v>0</x:v>
      </x:c>
      <x:c r="O171" s="12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2"/>
      <x:c r="M172" s="12"/>
      <x:c r="N172" s="15" t="n">
        <x:f>IF(OR(L172="Operating",L172="Investing",L172="Financing"),C172,0)</x:f>
        <x:v>0</x:v>
      </x:c>
      <x:c r="O172" s="12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2"/>
      <x:c r="M173" s="12"/>
      <x:c r="N173" s="15" t="n">
        <x:f>IF(OR(L173="Operating",L173="Investing",L173="Financing"),C173,0)</x:f>
        <x:v>0</x:v>
      </x:c>
      <x:c r="O173" s="12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2"/>
      <x:c r="M174" s="12"/>
      <x:c r="N174" s="15" t="n">
        <x:f>IF(OR(L174="Operating",L174="Investing",L174="Financing"),C174,0)</x:f>
        <x:v>0</x:v>
      </x:c>
      <x:c r="O174" s="12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2"/>
      <x:c r="M175" s="12"/>
      <x:c r="N175" s="15" t="n">
        <x:f>IF(OR(L175="Operating",L175="Investing",L175="Financing"),C175,0)</x:f>
        <x:v>0</x:v>
      </x:c>
      <x:c r="O175" s="12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2"/>
      <x:c r="M176" s="12"/>
      <x:c r="N176" s="15" t="n">
        <x:f>IF(OR(L176="Operating",L176="Investing",L176="Financing"),C176,0)</x:f>
        <x:v>0</x:v>
      </x:c>
      <x:c r="O176" s="12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2"/>
      <x:c r="M177" s="12"/>
      <x:c r="N177" s="15" t="n">
        <x:f>IF(OR(L177="Operating",L177="Investing",L177="Financing"),C177,0)</x:f>
        <x:v>0</x:v>
      </x:c>
      <x:c r="O177" s="12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2"/>
      <x:c r="M178" s="12"/>
      <x:c r="N178" s="15" t="n">
        <x:f>IF(OR(L178="Operating",L178="Investing",L178="Financing"),C178,0)</x:f>
        <x:v>0</x:v>
      </x:c>
      <x:c r="O178" s="12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2"/>
      <x:c r="M179" s="12"/>
      <x:c r="N179" s="15" t="n">
        <x:f>IF(OR(L179="Operating",L179="Investing",L179="Financing"),C179,0)</x:f>
        <x:v>0</x:v>
      </x:c>
      <x:c r="O179" s="12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2"/>
      <x:c r="M180" s="12"/>
      <x:c r="N180" s="15" t="n">
        <x:f>IF(OR(L180="Operating",L180="Investing",L180="Financing"),C180,0)</x:f>
        <x:v>0</x:v>
      </x:c>
      <x:c r="O180" s="12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2"/>
      <x:c r="M181" s="12"/>
      <x:c r="N181" s="15" t="n">
        <x:f>IF(OR(L181="Operating",L181="Investing",L181="Financing"),C181,0)</x:f>
        <x:v>0</x:v>
      </x:c>
      <x:c r="O181" s="12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2"/>
      <x:c r="M182" s="12"/>
      <x:c r="N182" s="15" t="n">
        <x:f>IF(OR(L182="Operating",L182="Investing",L182="Financing"),C182,0)</x:f>
        <x:v>0</x:v>
      </x:c>
      <x:c r="O182" s="12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2"/>
      <x:c r="M183" s="12"/>
      <x:c r="N183" s="15" t="n">
        <x:f>IF(OR(L183="Operating",L183="Investing",L183="Financing"),C183,0)</x:f>
        <x:v>0</x:v>
      </x:c>
      <x:c r="O183" s="12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2"/>
      <x:c r="M184" s="12"/>
      <x:c r="N184" s="15" t="n">
        <x:f>IF(OR(L184="Operating",L184="Investing",L184="Financing"),C184,0)</x:f>
        <x:v>0</x:v>
      </x:c>
      <x:c r="O184" s="12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2"/>
      <x:c r="M185" s="12"/>
      <x:c r="N185" s="15" t="n">
        <x:f>IF(OR(L185="Operating",L185="Investing",L185="Financing"),C185,0)</x:f>
        <x:v>0</x:v>
      </x:c>
      <x:c r="O185" s="12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2"/>
      <x:c r="M186" s="12"/>
      <x:c r="N186" s="15" t="n">
        <x:f>IF(OR(L186="Operating",L186="Investing",L186="Financing"),C186,0)</x:f>
        <x:v>0</x:v>
      </x:c>
      <x:c r="O186" s="12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2"/>
      <x:c r="M187" s="12"/>
      <x:c r="N187" s="15" t="n">
        <x:f>IF(OR(L187="Operating",L187="Investing",L187="Financing"),C187,0)</x:f>
        <x:v>0</x:v>
      </x:c>
      <x:c r="O187" s="12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2"/>
      <x:c r="M188" s="12"/>
      <x:c r="N188" s="15" t="n">
        <x:f>IF(OR(L188="Operating",L188="Investing",L188="Financing"),C188,0)</x:f>
        <x:v>0</x:v>
      </x:c>
      <x:c r="O188" s="12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2"/>
      <x:c r="M189" s="12"/>
      <x:c r="N189" s="15" t="n">
        <x:f>IF(OR(L189="Operating",L189="Investing",L189="Financing"),C189,0)</x:f>
        <x:v>0</x:v>
      </x:c>
      <x:c r="O189" s="12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2"/>
      <x:c r="M190" s="12"/>
      <x:c r="N190" s="15" t="n">
        <x:f>IF(OR(L190="Operating",L190="Investing",L190="Financing"),C190,0)</x:f>
        <x:v>0</x:v>
      </x:c>
      <x:c r="O190" s="12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2"/>
      <x:c r="M191" s="12"/>
      <x:c r="N191" s="15" t="n">
        <x:f>IF(OR(L191="Operating",L191="Investing",L191="Financing"),C191,0)</x:f>
        <x:v>0</x:v>
      </x:c>
      <x:c r="O191" s="12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2"/>
      <x:c r="M192" s="12"/>
      <x:c r="N192" s="15" t="n">
        <x:f>IF(OR(L192="Operating",L192="Investing",L192="Financing"),C192,0)</x:f>
        <x:v>0</x:v>
      </x:c>
      <x:c r="O192" s="12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2"/>
      <x:c r="M193" s="12"/>
      <x:c r="N193" s="15" t="n">
        <x:f>IF(OR(L193="Operating",L193="Investing",L193="Financing"),C193,0)</x:f>
        <x:v>0</x:v>
      </x:c>
      <x:c r="O193" s="12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2"/>
      <x:c r="M194" s="12"/>
      <x:c r="N194" s="15" t="n">
        <x:f>IF(OR(L194="Operating",L194="Investing",L194="Financing"),C194,0)</x:f>
        <x:v>0</x:v>
      </x:c>
      <x:c r="O194" s="12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2"/>
      <x:c r="M195" s="12"/>
      <x:c r="N195" s="15" t="n">
        <x:f>IF(OR(L195="Operating",L195="Investing",L195="Financing"),C195,0)</x:f>
        <x:v>0</x:v>
      </x:c>
      <x:c r="O195" s="12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2"/>
      <x:c r="M196" s="12"/>
      <x:c r="N196" s="15" t="n">
        <x:f>IF(OR(L196="Operating",L196="Investing",L196="Financing"),C196,0)</x:f>
        <x:v>0</x:v>
      </x:c>
      <x:c r="O196" s="12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2"/>
      <x:c r="M197" s="12"/>
      <x:c r="N197" s="15" t="n">
        <x:f>IF(OR(L197="Operating",L197="Investing",L197="Financing"),C197,0)</x:f>
        <x:v>0</x:v>
      </x:c>
      <x:c r="O197" s="12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2"/>
      <x:c r="M198" s="12"/>
      <x:c r="N198" s="15" t="n">
        <x:f>IF(OR(L198="Operating",L198="Investing",L198="Financing"),C198,0)</x:f>
        <x:v>0</x:v>
      </x:c>
      <x:c r="O198" s="12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2"/>
      <x:c r="M199" s="12"/>
      <x:c r="N199" s="15" t="n">
        <x:f>IF(OR(L199="Operating",L199="Investing",L199="Financing"),C199,0)</x:f>
        <x:v>0</x:v>
      </x:c>
      <x:c r="O199" s="12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2"/>
      <x:c r="M200" s="12"/>
      <x:c r="N200" s="15" t="n">
        <x:f>IF(OR(L200="Operating",L200="Investing",L200="Financing"),C200,0)</x:f>
        <x:v>0</x:v>
      </x:c>
      <x:c r="O200" s="12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2"/>
      <x:c r="M201" s="12"/>
      <x:c r="N201" s="15" t="n">
        <x:f>IF(OR(L201="Operating",L201="Investing",L201="Financing"),C201,0)</x:f>
        <x:v>0</x:v>
      </x:c>
      <x:c r="O201" s="12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2"/>
      <x:c r="M202" s="12"/>
      <x:c r="N202" s="15" t="n">
        <x:f>IF(OR(L202="Operating",L202="Investing",L202="Financing"),C202,0)</x:f>
        <x:v>0</x:v>
      </x:c>
      <x:c r="O202" s="12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2"/>
      <x:c r="M203" s="12"/>
      <x:c r="N203" s="15" t="n">
        <x:f>IF(OR(L203="Operating",L203="Investing",L203="Financing"),C203,0)</x:f>
        <x:v>0</x:v>
      </x:c>
      <x:c r="O203" s="12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2"/>
      <x:c r="M204" s="12"/>
      <x:c r="N204" s="15" t="n">
        <x:f>IF(OR(L204="Operating",L204="Investing",L204="Financing"),C204,0)</x:f>
        <x:v>0</x:v>
      </x:c>
      <x:c r="O204" s="12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2"/>
      <x:c r="M205" s="12"/>
      <x:c r="N205" s="15" t="n">
        <x:f>IF(OR(L205="Operating",L205="Investing",L205="Financing"),C205,0)</x:f>
        <x:v>0</x:v>
      </x:c>
      <x:c r="O205" s="12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2"/>
      <x:c r="M206" s="12"/>
      <x:c r="N206" s="15" t="n">
        <x:f>IF(OR(L206="Operating",L206="Investing",L206="Financing"),C206,0)</x:f>
        <x:v>0</x:v>
      </x:c>
      <x:c r="O206" s="12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2"/>
      <x:c r="M207" s="12"/>
      <x:c r="N207" s="15" t="n">
        <x:f>IF(OR(L207="Operating",L207="Investing",L207="Financing"),C207,0)</x:f>
        <x:v>0</x:v>
      </x:c>
      <x:c r="O207" s="12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2"/>
      <x:c r="M208" s="12"/>
      <x:c r="N208" s="15" t="n">
        <x:f>IF(OR(L208="Operating",L208="Investing",L208="Financing"),C208,0)</x:f>
        <x:v>0</x:v>
      </x:c>
      <x:c r="O208" s="12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2"/>
      <x:c r="M209" s="12"/>
      <x:c r="N209" s="15" t="n">
        <x:f>IF(OR(L209="Operating",L209="Investing",L209="Financing"),C209,0)</x:f>
        <x:v>0</x:v>
      </x:c>
      <x:c r="O209" s="12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2"/>
      <x:c r="M210" s="12"/>
      <x:c r="N210" s="15" t="n">
        <x:f>IF(OR(L210="Operating",L210="Investing",L210="Financing"),C210,0)</x:f>
        <x:v>0</x:v>
      </x:c>
      <x:c r="O210" s="12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2"/>
      <x:c r="M211" s="12"/>
      <x:c r="N211" s="15" t="n">
        <x:f>IF(OR(L211="Operating",L211="Investing",L211="Financing"),C211,0)</x:f>
        <x:v>0</x:v>
      </x:c>
      <x:c r="O211" s="12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2"/>
      <x:c r="M212" s="12"/>
      <x:c r="N212" s="15" t="n">
        <x:f>IF(OR(L212="Operating",L212="Investing",L212="Financing"),C212,0)</x:f>
        <x:v>0</x:v>
      </x:c>
      <x:c r="O212" s="12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2"/>
      <x:c r="M213" s="12"/>
      <x:c r="N213" s="15" t="n">
        <x:f>IF(OR(L213="Operating",L213="Investing",L213="Financing"),C213,0)</x:f>
        <x:v>0</x:v>
      </x:c>
      <x:c r="O213" s="12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2"/>
      <x:c r="M214" s="12"/>
      <x:c r="N214" s="15" t="n">
        <x:f>IF(OR(L214="Operating",L214="Investing",L214="Financing"),C214,0)</x:f>
        <x:v>0</x:v>
      </x:c>
      <x:c r="O214" s="12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2"/>
      <x:c r="M215" s="12"/>
      <x:c r="N215" s="15" t="n">
        <x:f>IF(OR(L215="Operating",L215="Investing",L215="Financing"),C215,0)</x:f>
        <x:v>0</x:v>
      </x:c>
      <x:c r="O215" s="12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2"/>
      <x:c r="M216" s="12"/>
      <x:c r="N216" s="15" t="n">
        <x:f>IF(OR(L216="Operating",L216="Investing",L216="Financing"),C216,0)</x:f>
        <x:v>0</x:v>
      </x:c>
      <x:c r="O216" s="12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2"/>
      <x:c r="M217" s="12"/>
      <x:c r="N217" s="15" t="n">
        <x:f>IF(OR(L217="Operating",L217="Investing",L217="Financing"),C217,0)</x:f>
        <x:v>0</x:v>
      </x:c>
      <x:c r="O217" s="12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2"/>
      <x:c r="M218" s="12"/>
      <x:c r="N218" s="15" t="n">
        <x:f>IF(OR(L218="Operating",L218="Investing",L218="Financing"),C218,0)</x:f>
        <x:v>0</x:v>
      </x:c>
      <x:c r="O218" s="12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2"/>
      <x:c r="M219" s="12"/>
      <x:c r="N219" s="15" t="n">
        <x:f>IF(OR(L219="Operating",L219="Investing",L219="Financing"),C219,0)</x:f>
        <x:v>0</x:v>
      </x:c>
      <x:c r="O219" s="12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2"/>
      <x:c r="M220" s="12"/>
      <x:c r="N220" s="15" t="n">
        <x:f>IF(OR(L220="Operating",L220="Investing",L220="Financing"),C220,0)</x:f>
        <x:v>0</x:v>
      </x:c>
      <x:c r="O220" s="12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2"/>
      <x:c r="M221" s="12"/>
      <x:c r="N221" s="15" t="n">
        <x:f>IF(OR(L221="Operating",L221="Investing",L221="Financing"),C221,0)</x:f>
        <x:v>0</x:v>
      </x:c>
      <x:c r="O221" s="12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2"/>
      <x:c r="M222" s="12"/>
      <x:c r="N222" s="15" t="n">
        <x:f>IF(OR(L222="Operating",L222="Investing",L222="Financing"),C222,0)</x:f>
        <x:v>0</x:v>
      </x:c>
      <x:c r="O222" s="12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2"/>
      <x:c r="M223" s="12"/>
      <x:c r="N223" s="15" t="n">
        <x:f>IF(OR(L223="Operating",L223="Investing",L223="Financing"),C223,0)</x:f>
        <x:v>0</x:v>
      </x:c>
      <x:c r="O223" s="12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2"/>
      <x:c r="M224" s="12"/>
      <x:c r="N224" s="15" t="n">
        <x:f>IF(OR(L224="Operating",L224="Investing",L224="Financing"),C224,0)</x:f>
        <x:v>0</x:v>
      </x:c>
      <x:c r="O224" s="12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2"/>
      <x:c r="M225" s="12"/>
      <x:c r="N225" s="15" t="n">
        <x:f>IF(OR(L225="Operating",L225="Investing",L225="Financing"),C225,0)</x:f>
        <x:v>0</x:v>
      </x:c>
      <x:c r="O225" s="12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2"/>
      <x:c r="M226" s="12"/>
      <x:c r="N226" s="15" t="n">
        <x:f>IF(OR(L226="Operating",L226="Investing",L226="Financing"),C226,0)</x:f>
        <x:v>0</x:v>
      </x:c>
      <x:c r="O226" s="12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2"/>
      <x:c r="M227" s="12"/>
      <x:c r="N227" s="15" t="n">
        <x:f>IF(OR(L227="Operating",L227="Investing",L227="Financing"),C227,0)</x:f>
        <x:v>0</x:v>
      </x:c>
      <x:c r="O227" s="12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2"/>
      <x:c r="M228" s="12"/>
      <x:c r="N228" s="15" t="n">
        <x:f>IF(OR(L228="Operating",L228="Investing",L228="Financing"),C228,0)</x:f>
        <x:v>0</x:v>
      </x:c>
      <x:c r="O228" s="12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2"/>
      <x:c r="M229" s="12"/>
      <x:c r="N229" s="15" t="n">
        <x:f>IF(OR(L229="Operating",L229="Investing",L229="Financing"),C229,0)</x:f>
        <x:v>0</x:v>
      </x:c>
      <x:c r="O229" s="12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2"/>
      <x:c r="M230" s="12"/>
      <x:c r="N230" s="15" t="n">
        <x:f>IF(OR(L230="Operating",L230="Investing",L230="Financing"),C230,0)</x:f>
        <x:v>0</x:v>
      </x:c>
      <x:c r="O230" s="12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2"/>
      <x:c r="M231" s="12"/>
      <x:c r="N231" s="15" t="n">
        <x:f>IF(OR(L231="Operating",L231="Investing",L231="Financing"),C231,0)</x:f>
        <x:v>0</x:v>
      </x:c>
      <x:c r="O231" s="12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2"/>
      <x:c r="M232" s="12"/>
      <x:c r="N232" s="15" t="n">
        <x:f>IF(OR(L232="Operating",L232="Investing",L232="Financing"),C232,0)</x:f>
        <x:v>0</x:v>
      </x:c>
      <x:c r="O232" s="12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2"/>
      <x:c r="M233" s="12"/>
      <x:c r="N233" s="15" t="n">
        <x:f>IF(OR(L233="Operating",L233="Investing",L233="Financing"),C233,0)</x:f>
        <x:v>0</x:v>
      </x:c>
      <x:c r="O233" s="12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2"/>
      <x:c r="M234" s="12"/>
      <x:c r="N234" s="15" t="n">
        <x:f>IF(OR(L234="Operating",L234="Investing",L234="Financing"),C234,0)</x:f>
        <x:v>0</x:v>
      </x:c>
      <x:c r="O234" s="12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2"/>
      <x:c r="M235" s="12"/>
      <x:c r="N235" s="15" t="n">
        <x:f>IF(OR(L235="Operating",L235="Investing",L235="Financing"),C235,0)</x:f>
        <x:v>0</x:v>
      </x:c>
      <x:c r="O235" s="12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2"/>
      <x:c r="M236" s="12"/>
      <x:c r="N236" s="15" t="n">
        <x:f>IF(OR(L236="Operating",L236="Investing",L236="Financing"),C236,0)</x:f>
        <x:v>0</x:v>
      </x:c>
      <x:c r="O236" s="12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2"/>
      <x:c r="M237" s="12"/>
      <x:c r="N237" s="15" t="n">
        <x:f>IF(OR(L237="Operating",L237="Investing",L237="Financing"),C237,0)</x:f>
        <x:v>0</x:v>
      </x:c>
      <x:c r="O237" s="12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2"/>
      <x:c r="M238" s="12"/>
      <x:c r="N238" s="15" t="n">
        <x:f>IF(OR(L238="Operating",L238="Investing",L238="Financing"),C238,0)</x:f>
        <x:v>0</x:v>
      </x:c>
      <x:c r="O238" s="12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2"/>
      <x:c r="M239" s="12"/>
      <x:c r="N239" s="15" t="n">
        <x:f>IF(OR(L239="Operating",L239="Investing",L239="Financing"),C239,0)</x:f>
        <x:v>0</x:v>
      </x:c>
      <x:c r="O239" s="12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2"/>
      <x:c r="M240" s="12"/>
      <x:c r="N240" s="15" t="n">
        <x:f>IF(OR(L240="Operating",L240="Investing",L240="Financing"),C240,0)</x:f>
        <x:v>0</x:v>
      </x:c>
      <x:c r="O240" s="12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2"/>
      <x:c r="M241" s="12"/>
      <x:c r="N241" s="15" t="n">
        <x:f>IF(OR(L241="Operating",L241="Investing",L241="Financing"),C241,0)</x:f>
        <x:v>0</x:v>
      </x:c>
      <x:c r="O241" s="12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2"/>
      <x:c r="M242" s="12"/>
      <x:c r="N242" s="15" t="n">
        <x:f>IF(OR(L242="Operating",L242="Investing",L242="Financing"),C242,0)</x:f>
        <x:v>0</x:v>
      </x:c>
      <x:c r="O242" s="12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2"/>
      <x:c r="M243" s="12"/>
      <x:c r="N243" s="15" t="n">
        <x:f>IF(OR(L243="Operating",L243="Investing",L243="Financing"),C243,0)</x:f>
        <x:v>0</x:v>
      </x:c>
      <x:c r="O243" s="12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2"/>
      <x:c r="M244" s="12"/>
      <x:c r="N244" s="15" t="n">
        <x:f>IF(OR(L244="Operating",L244="Investing",L244="Financing"),C244,0)</x:f>
        <x:v>0</x:v>
      </x:c>
      <x:c r="O244" s="12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2"/>
      <x:c r="M245" s="12"/>
      <x:c r="N245" s="15" t="n">
        <x:f>IF(OR(L245="Operating",L245="Investing",L245="Financing"),C245,0)</x:f>
        <x:v>0</x:v>
      </x:c>
      <x:c r="O245" s="12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2"/>
      <x:c r="M246" s="12"/>
      <x:c r="N246" s="15" t="n">
        <x:f>IF(OR(L246="Operating",L246="Investing",L246="Financing"),C246,0)</x:f>
        <x:v>0</x:v>
      </x:c>
      <x:c r="O246" s="12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2"/>
      <x:c r="M247" s="12"/>
      <x:c r="N247" s="15" t="n">
        <x:f>IF(OR(L247="Operating",L247="Investing",L247="Financing"),C247,0)</x:f>
        <x:v>0</x:v>
      </x:c>
      <x:c r="O247" s="12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2"/>
      <x:c r="M248" s="12"/>
      <x:c r="N248" s="15" t="n">
        <x:f>IF(OR(L248="Operating",L248="Investing",L248="Financing"),C248,0)</x:f>
        <x:v>0</x:v>
      </x:c>
      <x:c r="O248" s="12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2"/>
      <x:c r="M249" s="12"/>
      <x:c r="N249" s="15" t="n">
        <x:f>IF(OR(L249="Operating",L249="Investing",L249="Financing"),C249,0)</x:f>
        <x:v>0</x:v>
      </x:c>
      <x:c r="O249" s="12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2"/>
      <x:c r="M250" s="12"/>
      <x:c r="N250" s="15" t="n">
        <x:f>IF(OR(L250="Operating",L250="Investing",L250="Financing"),C250,0)</x:f>
        <x:v>0</x:v>
      </x:c>
      <x:c r="O250" s="12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2"/>
      <x:c r="M251" s="12"/>
      <x:c r="N251" s="15" t="n">
        <x:f>IF(OR(L251="Operating",L251="Investing",L251="Financing"),C251,0)</x:f>
        <x:v>0</x:v>
      </x:c>
      <x:c r="O251" s="12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2"/>
      <x:c r="M252" s="12"/>
      <x:c r="N252" s="15" t="n">
        <x:f>IF(OR(L252="Operating",L252="Investing",L252="Financing"),C252,0)</x:f>
        <x:v>0</x:v>
      </x:c>
      <x:c r="O252" s="12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2"/>
      <x:c r="M253" s="12"/>
      <x:c r="N253" s="15" t="n">
        <x:f>IF(OR(L253="Operating",L253="Investing",L253="Financing"),C253,0)</x:f>
        <x:v>0</x:v>
      </x:c>
      <x:c r="O253" s="12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2"/>
      <x:c r="M254" s="12"/>
      <x:c r="N254" s="15" t="n">
        <x:f>IF(OR(L254="Operating",L254="Investing",L254="Financing"),C254,0)</x:f>
        <x:v>0</x:v>
      </x:c>
      <x:c r="O254" s="12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2"/>
      <x:c r="M255" s="12"/>
      <x:c r="N255" s="15" t="n">
        <x:f>IF(OR(L255="Operating",L255="Investing",L255="Financing"),C255,0)</x:f>
        <x:v>0</x:v>
      </x:c>
      <x:c r="O255" s="12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2"/>
      <x:c r="M256" s="12"/>
      <x:c r="N256" s="15" t="n">
        <x:f>IF(OR(L256="Operating",L256="Investing",L256="Financing"),C256,0)</x:f>
        <x:v>0</x:v>
      </x:c>
      <x:c r="O256" s="12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2"/>
      <x:c r="M257" s="12"/>
      <x:c r="N257" s="15" t="n">
        <x:f>IF(OR(L257="Operating",L257="Investing",L257="Financing"),C257,0)</x:f>
        <x:v>0</x:v>
      </x:c>
      <x:c r="O257" s="12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2"/>
      <x:c r="M258" s="12"/>
      <x:c r="N258" s="15" t="n">
        <x:f>IF(OR(L258="Operating",L258="Investing",L258="Financing"),C258,0)</x:f>
        <x:v>0</x:v>
      </x:c>
      <x:c r="O258" s="12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2"/>
      <x:c r="M259" s="12"/>
      <x:c r="N259" s="15" t="n">
        <x:f>IF(OR(L259="Operating",L259="Investing",L259="Financing"),C259,0)</x:f>
        <x:v>0</x:v>
      </x:c>
      <x:c r="O259" s="12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2"/>
      <x:c r="M260" s="12"/>
      <x:c r="N260" s="15" t="n">
        <x:f>IF(OR(L260="Operating",L260="Investing",L260="Financing"),C260,0)</x:f>
        <x:v>0</x:v>
      </x:c>
      <x:c r="O260" s="12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2"/>
      <x:c r="M261" s="12"/>
      <x:c r="N261" s="15" t="n">
        <x:f>IF(OR(L261="Operating",L261="Investing",L261="Financing"),C261,0)</x:f>
        <x:v>0</x:v>
      </x:c>
      <x:c r="O261" s="12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2"/>
      <x:c r="M262" s="12"/>
      <x:c r="N262" s="15" t="n">
        <x:f>IF(OR(L262="Operating",L262="Investing",L262="Financing"),C262,0)</x:f>
        <x:v>0</x:v>
      </x:c>
      <x:c r="O262" s="12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2"/>
      <x:c r="M263" s="12"/>
      <x:c r="N263" s="15" t="n">
        <x:f>IF(OR(L263="Operating",L263="Investing",L263="Financing"),C263,0)</x:f>
        <x:v>0</x:v>
      </x:c>
      <x:c r="O263" s="12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2"/>
      <x:c r="M264" s="12"/>
      <x:c r="N264" s="15" t="n">
        <x:f>IF(OR(L264="Operating",L264="Investing",L264="Financing"),C264,0)</x:f>
        <x:v>0</x:v>
      </x:c>
      <x:c r="O264" s="12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2"/>
      <x:c r="M265" s="12"/>
      <x:c r="N265" s="15" t="n">
        <x:f>IF(OR(L265="Operating",L265="Investing",L265="Financing"),C265,0)</x:f>
        <x:v>0</x:v>
      </x:c>
      <x:c r="O265" s="12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2"/>
      <x:c r="M266" s="12"/>
      <x:c r="N266" s="15" t="n">
        <x:f>IF(OR(L266="Operating",L266="Investing",L266="Financing"),C266,0)</x:f>
        <x:v>0</x:v>
      </x:c>
      <x:c r="O266" s="12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2"/>
      <x:c r="M267" s="12"/>
      <x:c r="N267" s="15" t="n">
        <x:f>IF(OR(L267="Operating",L267="Investing",L267="Financing"),C267,0)</x:f>
        <x:v>0</x:v>
      </x:c>
      <x:c r="O267" s="12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2"/>
      <x:c r="M268" s="12"/>
      <x:c r="N268" s="15" t="n">
        <x:f>IF(OR(L268="Operating",L268="Investing",L268="Financing"),C268,0)</x:f>
        <x:v>0</x:v>
      </x:c>
      <x:c r="O268" s="12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2"/>
      <x:c r="M269" s="12"/>
      <x:c r="N269" s="15" t="n">
        <x:f>IF(OR(L269="Operating",L269="Investing",L269="Financing"),C269,0)</x:f>
        <x:v>0</x:v>
      </x:c>
      <x:c r="O269" s="12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2"/>
      <x:c r="M270" s="12"/>
      <x:c r="N270" s="15" t="n">
        <x:f>IF(OR(L270="Operating",L270="Investing",L270="Financing"),C270,0)</x:f>
        <x:v>0</x:v>
      </x:c>
      <x:c r="O270" s="12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2"/>
      <x:c r="M271" s="12"/>
      <x:c r="N271" s="15" t="n">
        <x:f>IF(OR(L271="Operating",L271="Investing",L271="Financing"),C271,0)</x:f>
        <x:v>0</x:v>
      </x:c>
      <x:c r="O271" s="12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2"/>
      <x:c r="M272" s="12"/>
      <x:c r="N272" s="15" t="n">
        <x:f>IF(OR(L272="Operating",L272="Investing",L272="Financing"),C272,0)</x:f>
        <x:v>0</x:v>
      </x:c>
      <x:c r="O272" s="12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2"/>
      <x:c r="M273" s="12"/>
      <x:c r="N273" s="15" t="n">
        <x:f>IF(OR(L273="Operating",L273="Investing",L273="Financing"),C273,0)</x:f>
        <x:v>0</x:v>
      </x:c>
      <x:c r="O273" s="12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2"/>
      <x:c r="M274" s="12"/>
      <x:c r="N274" s="15" t="n">
        <x:f>IF(OR(L274="Operating",L274="Investing",L274="Financing"),C274,0)</x:f>
        <x:v>0</x:v>
      </x:c>
      <x:c r="O274" s="12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2"/>
      <x:c r="M275" s="12"/>
      <x:c r="N275" s="15" t="n">
        <x:f>IF(OR(L275="Operating",L275="Investing",L275="Financing"),C275,0)</x:f>
        <x:v>0</x:v>
      </x:c>
      <x:c r="O275" s="12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2"/>
      <x:c r="M276" s="12"/>
      <x:c r="N276" s="15" t="n">
        <x:f>IF(OR(L276="Operating",L276="Investing",L276="Financing"),C276,0)</x:f>
        <x:v>0</x:v>
      </x:c>
      <x:c r="O276" s="12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2"/>
      <x:c r="M277" s="12"/>
      <x:c r="N277" s="15" t="n">
        <x:f>IF(OR(L277="Operating",L277="Investing",L277="Financing"),C277,0)</x:f>
        <x:v>0</x:v>
      </x:c>
      <x:c r="O277" s="12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2"/>
      <x:c r="M278" s="12"/>
      <x:c r="N278" s="15" t="n">
        <x:f>IF(OR(L278="Operating",L278="Investing",L278="Financing"),C278,0)</x:f>
        <x:v>0</x:v>
      </x:c>
      <x:c r="O278" s="12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2"/>
      <x:c r="M279" s="12"/>
      <x:c r="N279" s="15" t="n">
        <x:f>IF(OR(L279="Operating",L279="Investing",L279="Financing"),C279,0)</x:f>
        <x:v>0</x:v>
      </x:c>
      <x:c r="O279" s="12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2"/>
      <x:c r="M280" s="12"/>
      <x:c r="N280" s="15" t="n">
        <x:f>IF(OR(L280="Operating",L280="Investing",L280="Financing"),C280,0)</x:f>
        <x:v>0</x:v>
      </x:c>
      <x:c r="O280" s="12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2"/>
      <x:c r="M281" s="12"/>
      <x:c r="N281" s="15" t="n">
        <x:f>IF(OR(L281="Operating",L281="Investing",L281="Financing"),C281,0)</x:f>
        <x:v>0</x:v>
      </x:c>
      <x:c r="O281" s="12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2"/>
      <x:c r="M282" s="12"/>
      <x:c r="N282" s="15" t="n">
        <x:f>IF(OR(L282="Operating",L282="Investing",L282="Financing"),C282,0)</x:f>
        <x:v>0</x:v>
      </x:c>
      <x:c r="O282" s="12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2"/>
      <x:c r="M283" s="12"/>
      <x:c r="N283" s="15" t="n">
        <x:f>IF(OR(L283="Operating",L283="Investing",L283="Financing"),C283,0)</x:f>
        <x:v>0</x:v>
      </x:c>
      <x:c r="O283" s="12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2"/>
      <x:c r="M284" s="12"/>
      <x:c r="N284" s="15" t="n">
        <x:f>IF(OR(L284="Operating",L284="Investing",L284="Financing"),C284,0)</x:f>
        <x:v>0</x:v>
      </x:c>
      <x:c r="O284" s="12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2"/>
      <x:c r="M285" s="12"/>
      <x:c r="N285" s="15" t="n">
        <x:f>IF(OR(L285="Operating",L285="Investing",L285="Financing"),C285,0)</x:f>
        <x:v>0</x:v>
      </x:c>
      <x:c r="O285" s="12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2"/>
      <x:c r="M286" s="12"/>
      <x:c r="N286" s="15" t="n">
        <x:f>IF(OR(L286="Operating",L286="Investing",L286="Financing"),C286,0)</x:f>
        <x:v>0</x:v>
      </x:c>
      <x:c r="O286" s="12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2"/>
      <x:c r="M287" s="12"/>
      <x:c r="N287" s="15" t="n">
        <x:f>IF(OR(L287="Operating",L287="Investing",L287="Financing"),C287,0)</x:f>
        <x:v>0</x:v>
      </x:c>
      <x:c r="O287" s="12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2"/>
      <x:c r="M288" s="12"/>
      <x:c r="N288" s="15" t="n">
        <x:f>IF(OR(L288="Operating",L288="Investing",L288="Financing"),C288,0)</x:f>
        <x:v>0</x:v>
      </x:c>
      <x:c r="O288" s="12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2"/>
      <x:c r="M289" s="12"/>
      <x:c r="N289" s="15" t="n">
        <x:f>IF(OR(L289="Operating",L289="Investing",L289="Financing"),C289,0)</x:f>
        <x:v>0</x:v>
      </x:c>
      <x:c r="O289" s="12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2"/>
      <x:c r="M290" s="12"/>
      <x:c r="N290" s="15" t="n">
        <x:f>IF(OR(L290="Operating",L290="Investing",L290="Financing"),C290,0)</x:f>
        <x:v>0</x:v>
      </x:c>
      <x:c r="O290" s="12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2"/>
      <x:c r="M291" s="12"/>
      <x:c r="N291" s="15" t="n">
        <x:f>IF(OR(L291="Operating",L291="Investing",L291="Financing"),C291,0)</x:f>
        <x:v>0</x:v>
      </x:c>
      <x:c r="O291" s="12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2"/>
      <x:c r="M292" s="12"/>
      <x:c r="N292" s="15" t="n">
        <x:f>IF(OR(L292="Operating",L292="Investing",L292="Financing"),C292,0)</x:f>
        <x:v>0</x:v>
      </x:c>
      <x:c r="O292" s="12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2"/>
      <x:c r="M293" s="12"/>
      <x:c r="N293" s="15" t="n">
        <x:f>IF(OR(L293="Operating",L293="Investing",L293="Financing"),C293,0)</x:f>
        <x:v>0</x:v>
      </x:c>
      <x:c r="O293" s="12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2"/>
      <x:c r="M294" s="12"/>
      <x:c r="N294" s="15" t="n">
        <x:f>IF(OR(L294="Operating",L294="Investing",L294="Financing"),C294,0)</x:f>
        <x:v>0</x:v>
      </x:c>
      <x:c r="O294" s="12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2"/>
      <x:c r="M295" s="12"/>
      <x:c r="N295" s="15" t="n">
        <x:f>IF(OR(L295="Operating",L295="Investing",L295="Financing"),C295,0)</x:f>
        <x:v>0</x:v>
      </x:c>
      <x:c r="O295" s="12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2"/>
      <x:c r="M296" s="12"/>
      <x:c r="N296" s="15" t="n">
        <x:f>IF(OR(L296="Operating",L296="Investing",L296="Financing"),C296,0)</x:f>
        <x:v>0</x:v>
      </x:c>
      <x:c r="O296" s="12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2"/>
      <x:c r="M297" s="12"/>
      <x:c r="N297" s="15" t="n">
        <x:f>IF(OR(L297="Operating",L297="Investing",L297="Financing"),C297,0)</x:f>
        <x:v>0</x:v>
      </x:c>
      <x:c r="O297" s="12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2"/>
      <x:c r="M298" s="12"/>
      <x:c r="N298" s="15" t="n">
        <x:f>IF(OR(L298="Operating",L298="Investing",L298="Financing"),C298,0)</x:f>
        <x:v>0</x:v>
      </x:c>
      <x:c r="O298" s="12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2"/>
      <x:c r="M299" s="12"/>
      <x:c r="N299" s="15" t="n">
        <x:f>IF(OR(L299="Operating",L299="Investing",L299="Financing"),C299,0)</x:f>
        <x:v>0</x:v>
      </x:c>
      <x:c r="O299" s="12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2"/>
      <x:c r="M300" s="12"/>
      <x:c r="N300" s="15" t="n">
        <x:f>IF(OR(L300="Operating",L300="Investing",L300="Financing"),C300,0)</x:f>
        <x:v>0</x:v>
      </x:c>
      <x:c r="O300" s="12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2"/>
      <x:c r="M301" s="12"/>
      <x:c r="N301" s="15" t="n">
        <x:f>IF(OR(L301="Operating",L301="Investing",L301="Financing"),C301,0)</x:f>
        <x:v>0</x:v>
      </x:c>
      <x:c r="O301" s="12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2"/>
      <x:c r="M302" s="12"/>
      <x:c r="N302" s="15" t="n">
        <x:f>IF(OR(L302="Operating",L302="Investing",L302="Financing"),C302,0)</x:f>
        <x:v>0</x:v>
      </x:c>
      <x:c r="O302" s="12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2"/>
      <x:c r="M303" s="12"/>
      <x:c r="N303" s="15" t="n">
        <x:f>IF(OR(L303="Operating",L303="Investing",L303="Financing"),C303,0)</x:f>
        <x:v>0</x:v>
      </x:c>
      <x:c r="O303" s="12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2"/>
      <x:c r="M304" s="12"/>
      <x:c r="N304" s="15" t="n">
        <x:f>IF(OR(L304="Operating",L304="Investing",L304="Financing"),C304,0)</x:f>
        <x:v>0</x:v>
      </x:c>
      <x:c r="O304" s="12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2"/>
      <x:c r="M305" s="12"/>
      <x:c r="N305" s="15" t="n">
        <x:f>IF(OR(L305="Operating",L305="Investing",L305="Financing"),C305,0)</x:f>
        <x:v>0</x:v>
      </x:c>
      <x:c r="O305" s="12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2"/>
      <x:c r="M306" s="12"/>
      <x:c r="N306" s="15" t="n">
        <x:f>IF(OR(L306="Operating",L306="Investing",L306="Financing"),C306,0)</x:f>
        <x:v>0</x:v>
      </x:c>
      <x:c r="O306" s="12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2"/>
      <x:c r="M307" s="12"/>
      <x:c r="N307" s="15" t="n">
        <x:f>IF(OR(L307="Operating",L307="Investing",L307="Financing"),C307,0)</x:f>
        <x:v>0</x:v>
      </x:c>
      <x:c r="O307" s="12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2"/>
      <x:c r="M308" s="12"/>
      <x:c r="N308" s="15" t="n">
        <x:f>IF(OR(L308="Operating",L308="Investing",L308="Financing"),C308,0)</x:f>
        <x:v>0</x:v>
      </x:c>
      <x:c r="O308" s="12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2"/>
      <x:c r="M309" s="12"/>
      <x:c r="N309" s="15" t="n">
        <x:f>IF(OR(L309="Operating",L309="Investing",L309="Financing"),C309,0)</x:f>
        <x:v>0</x:v>
      </x:c>
      <x:c r="O309" s="12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2"/>
      <x:c r="M310" s="12"/>
      <x:c r="N310" s="15" t="n">
        <x:f>IF(OR(L310="Operating",L310="Investing",L310="Financing"),C310,0)</x:f>
        <x:v>0</x:v>
      </x:c>
      <x:c r="O310" s="12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2"/>
      <x:c r="M311" s="12"/>
      <x:c r="N311" s="15" t="n">
        <x:f>IF(OR(L311="Operating",L311="Investing",L311="Financing"),C311,0)</x:f>
        <x:v>0</x:v>
      </x:c>
      <x:c r="O311" s="12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2"/>
      <x:c r="M312" s="12"/>
      <x:c r="N312" s="15" t="n">
        <x:f>IF(OR(L312="Operating",L312="Investing",L312="Financing"),C312,0)</x:f>
        <x:v>0</x:v>
      </x:c>
      <x:c r="O312" s="12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2"/>
      <x:c r="M313" s="12"/>
      <x:c r="N313" s="15" t="n">
        <x:f>IF(OR(L313="Operating",L313="Investing",L313="Financing"),C313,0)</x:f>
        <x:v>0</x:v>
      </x:c>
      <x:c r="O313" s="12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2"/>
      <x:c r="M314" s="12"/>
      <x:c r="N314" s="15" t="n">
        <x:f>IF(OR(L314="Operating",L314="Investing",L314="Financing"),C314,0)</x:f>
        <x:v>0</x:v>
      </x:c>
      <x:c r="O314" s="12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2"/>
      <x:c r="M315" s="12"/>
      <x:c r="N315" s="15" t="n">
        <x:f>IF(OR(L315="Operating",L315="Investing",L315="Financing"),C315,0)</x:f>
        <x:v>0</x:v>
      </x:c>
      <x:c r="O315" s="12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2"/>
      <x:c r="M316" s="12"/>
      <x:c r="N316" s="15" t="n">
        <x:f>IF(OR(L316="Operating",L316="Investing",L316="Financing"),C316,0)</x:f>
        <x:v>0</x:v>
      </x:c>
      <x:c r="O316" s="12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2"/>
      <x:c r="M317" s="12"/>
      <x:c r="N317" s="15" t="n">
        <x:f>IF(OR(L317="Operating",L317="Investing",L317="Financing"),C317,0)</x:f>
        <x:v>0</x:v>
      </x:c>
      <x:c r="O317" s="12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2"/>
      <x:c r="M318" s="12"/>
      <x:c r="N318" s="15" t="n">
        <x:f>IF(OR(L318="Operating",L318="Investing",L318="Financing"),C318,0)</x:f>
        <x:v>0</x:v>
      </x:c>
      <x:c r="O318" s="12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2"/>
      <x:c r="M319" s="12"/>
      <x:c r="N319" s="15" t="n">
        <x:f>IF(OR(L319="Operating",L319="Investing",L319="Financing"),C319,0)</x:f>
        <x:v>0</x:v>
      </x:c>
      <x:c r="O319" s="12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2"/>
      <x:c r="M320" s="12"/>
      <x:c r="N320" s="15" t="n">
        <x:f>IF(OR(L320="Operating",L320="Investing",L320="Financing"),C320,0)</x:f>
        <x:v>0</x:v>
      </x:c>
      <x:c r="O320" s="12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2"/>
      <x:c r="M321" s="12"/>
      <x:c r="N321" s="15" t="n">
        <x:f>IF(OR(L321="Operating",L321="Investing",L321="Financing"),C321,0)</x:f>
        <x:v>0</x:v>
      </x:c>
      <x:c r="O321" s="12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2"/>
      <x:c r="M322" s="12"/>
      <x:c r="N322" s="15" t="n">
        <x:f>IF(OR(L322="Operating",L322="Investing",L322="Financing"),C322,0)</x:f>
        <x:v>0</x:v>
      </x:c>
      <x:c r="O322" s="12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2"/>
      <x:c r="M323" s="12"/>
      <x:c r="N323" s="15" t="n">
        <x:f>IF(OR(L323="Operating",L323="Investing",L323="Financing"),C323,0)</x:f>
        <x:v>0</x:v>
      </x:c>
      <x:c r="O323" s="12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2"/>
      <x:c r="M324" s="12"/>
      <x:c r="N324" s="15" t="n">
        <x:f>IF(OR(L324="Operating",L324="Investing",L324="Financing"),C324,0)</x:f>
        <x:v>0</x:v>
      </x:c>
      <x:c r="O324" s="12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2"/>
      <x:c r="M325" s="12"/>
      <x:c r="N325" s="15" t="n">
        <x:f>IF(OR(L325="Operating",L325="Investing",L325="Financing"),C325,0)</x:f>
        <x:v>0</x:v>
      </x:c>
      <x:c r="O325" s="12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2"/>
      <x:c r="M326" s="12"/>
      <x:c r="N326" s="15" t="n">
        <x:f>IF(OR(L326="Operating",L326="Investing",L326="Financing"),C326,0)</x:f>
        <x:v>0</x:v>
      </x:c>
      <x:c r="O326" s="12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2"/>
      <x:c r="M327" s="12"/>
      <x:c r="N327" s="15" t="n">
        <x:f>IF(OR(L327="Operating",L327="Investing",L327="Financing"),C327,0)</x:f>
        <x:v>0</x:v>
      </x:c>
      <x:c r="O327" s="12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2"/>
      <x:c r="M328" s="12"/>
      <x:c r="N328" s="15" t="n">
        <x:f>IF(OR(L328="Operating",L328="Investing",L328="Financing"),C328,0)</x:f>
        <x:v>0</x:v>
      </x:c>
      <x:c r="O328" s="12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2"/>
      <x:c r="M329" s="12"/>
      <x:c r="N329" s="15" t="n">
        <x:f>IF(OR(L329="Operating",L329="Investing",L329="Financing"),C329,0)</x:f>
        <x:v>0</x:v>
      </x:c>
      <x:c r="O329" s="12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2"/>
      <x:c r="M330" s="12"/>
      <x:c r="N330" s="15" t="n">
        <x:f>IF(OR(L330="Operating",L330="Investing",L330="Financing"),C330,0)</x:f>
        <x:v>0</x:v>
      </x:c>
      <x:c r="O330" s="12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2"/>
      <x:c r="M331" s="12"/>
      <x:c r="N331" s="15" t="n">
        <x:f>IF(OR(L331="Operating",L331="Investing",L331="Financing"),C331,0)</x:f>
        <x:v>0</x:v>
      </x:c>
      <x:c r="O331" s="12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2"/>
      <x:c r="M332" s="12"/>
      <x:c r="N332" s="15" t="n">
        <x:f>IF(OR(L332="Operating",L332="Investing",L332="Financing"),C332,0)</x:f>
        <x:v>0</x:v>
      </x:c>
      <x:c r="O332" s="12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2"/>
      <x:c r="M333" s="12"/>
      <x:c r="N333" s="15" t="n">
        <x:f>IF(OR(L333="Operating",L333="Investing",L333="Financing"),C333,0)</x:f>
        <x:v>0</x:v>
      </x:c>
      <x:c r="O333" s="12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2"/>
      <x:c r="M334" s="12"/>
      <x:c r="N334" s="15" t="n">
        <x:f>IF(OR(L334="Operating",L334="Investing",L334="Financing"),C334,0)</x:f>
        <x:v>0</x:v>
      </x:c>
      <x:c r="O334" s="12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2"/>
      <x:c r="M335" s="12"/>
      <x:c r="N335" s="15" t="n">
        <x:f>IF(OR(L335="Operating",L335="Investing",L335="Financing"),C335,0)</x:f>
        <x:v>0</x:v>
      </x:c>
      <x:c r="O335" s="12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2"/>
      <x:c r="M336" s="12"/>
      <x:c r="N336" s="15" t="n">
        <x:f>IF(OR(L336="Operating",L336="Investing",L336="Financing"),C336,0)</x:f>
        <x:v>0</x:v>
      </x:c>
      <x:c r="O336" s="12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2"/>
      <x:c r="M337" s="12"/>
      <x:c r="N337" s="15" t="n">
        <x:f>IF(OR(L337="Operating",L337="Investing",L337="Financing"),C337,0)</x:f>
        <x:v>0</x:v>
      </x:c>
      <x:c r="O337" s="12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2"/>
      <x:c r="M338" s="12"/>
      <x:c r="N338" s="15" t="n">
        <x:f>IF(OR(L338="Operating",L338="Investing",L338="Financing"),C338,0)</x:f>
        <x:v>0</x:v>
      </x:c>
      <x:c r="O338" s="12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2"/>
      <x:c r="M339" s="12"/>
      <x:c r="N339" s="15" t="n">
        <x:f>IF(OR(L339="Operating",L339="Investing",L339="Financing"),C339,0)</x:f>
        <x:v>0</x:v>
      </x:c>
      <x:c r="O339" s="12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2"/>
      <x:c r="M340" s="12"/>
      <x:c r="N340" s="15" t="n">
        <x:f>IF(OR(L340="Operating",L340="Investing",L340="Financing"),C340,0)</x:f>
        <x:v>0</x:v>
      </x:c>
      <x:c r="O340" s="12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2"/>
      <x:c r="M341" s="12"/>
      <x:c r="N341" s="15" t="n">
        <x:f>IF(OR(L341="Operating",L341="Investing",L341="Financing"),C341,0)</x:f>
        <x:v>0</x:v>
      </x:c>
      <x:c r="O341" s="12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2"/>
      <x:c r="M342" s="12"/>
      <x:c r="N342" s="15" t="n">
        <x:f>IF(OR(L342="Operating",L342="Investing",L342="Financing"),C342,0)</x:f>
        <x:v>0</x:v>
      </x:c>
      <x:c r="O342" s="12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2"/>
      <x:c r="M343" s="12"/>
      <x:c r="N343" s="15" t="n">
        <x:f>IF(OR(L343="Operating",L343="Investing",L343="Financing"),C343,0)</x:f>
        <x:v>0</x:v>
      </x:c>
      <x:c r="O343" s="12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2"/>
      <x:c r="M344" s="12"/>
      <x:c r="N344" s="15" t="n">
        <x:f>IF(OR(L344="Operating",L344="Investing",L344="Financing"),C344,0)</x:f>
        <x:v>0</x:v>
      </x:c>
      <x:c r="O344" s="12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2"/>
      <x:c r="M345" s="12"/>
      <x:c r="N345" s="15" t="n">
        <x:f>IF(OR(L345="Operating",L345="Investing",L345="Financing"),C345,0)</x:f>
        <x:v>0</x:v>
      </x:c>
      <x:c r="O345" s="12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2"/>
      <x:c r="M346" s="12"/>
      <x:c r="N346" s="15" t="n">
        <x:f>IF(OR(L346="Operating",L346="Investing",L346="Financing"),C346,0)</x:f>
        <x:v>0</x:v>
      </x:c>
      <x:c r="O346" s="12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2"/>
      <x:c r="M347" s="12"/>
      <x:c r="N347" s="15" t="n">
        <x:f>IF(OR(L347="Operating",L347="Investing",L347="Financing"),C347,0)</x:f>
        <x:v>0</x:v>
      </x:c>
      <x:c r="O347" s="12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2"/>
      <x:c r="M348" s="12"/>
      <x:c r="N348" s="15" t="n">
        <x:f>IF(OR(L348="Operating",L348="Investing",L348="Financing"),C348,0)</x:f>
        <x:v>0</x:v>
      </x:c>
      <x:c r="O348" s="12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2"/>
      <x:c r="M349" s="12"/>
      <x:c r="N349" s="15" t="n">
        <x:f>IF(OR(L349="Operating",L349="Investing",L349="Financing"),C349,0)</x:f>
        <x:v>0</x:v>
      </x:c>
      <x:c r="O349" s="12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2"/>
      <x:c r="M350" s="12"/>
      <x:c r="N350" s="15" t="n">
        <x:f>IF(OR(L350="Operating",L350="Investing",L350="Financing"),C350,0)</x:f>
        <x:v>0</x:v>
      </x:c>
      <x:c r="O350" s="12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2"/>
      <x:c r="M351" s="12"/>
      <x:c r="N351" s="15" t="n">
        <x:f>IF(OR(L351="Operating",L351="Investing",L351="Financing"),C351,0)</x:f>
        <x:v>0</x:v>
      </x:c>
      <x:c r="O351" s="12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2"/>
      <x:c r="M352" s="12"/>
      <x:c r="N352" s="15" t="n">
        <x:f>IF(OR(L352="Operating",L352="Investing",L352="Financing"),C352,0)</x:f>
        <x:v>0</x:v>
      </x:c>
      <x:c r="O352" s="12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2"/>
      <x:c r="M353" s="12"/>
      <x:c r="N353" s="15" t="n">
        <x:f>IF(OR(L353="Operating",L353="Investing",L353="Financing"),C353,0)</x:f>
        <x:v>0</x:v>
      </x:c>
      <x:c r="O353" s="12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2"/>
      <x:c r="M354" s="12"/>
      <x:c r="N354" s="15" t="n">
        <x:f>IF(OR(L354="Operating",L354="Investing",L354="Financing"),C354,0)</x:f>
        <x:v>0</x:v>
      </x:c>
      <x:c r="O354" s="12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2"/>
      <x:c r="M355" s="12"/>
      <x:c r="N355" s="15" t="n">
        <x:f>IF(OR(L355="Operating",L355="Investing",L355="Financing"),C355,0)</x:f>
        <x:v>0</x:v>
      </x:c>
      <x:c r="O355" s="12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2"/>
      <x:c r="M356" s="12"/>
      <x:c r="N356" s="15" t="n">
        <x:f>IF(OR(L356="Operating",L356="Investing",L356="Financing"),C356,0)</x:f>
        <x:v>0</x:v>
      </x:c>
      <x:c r="O356" s="12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2"/>
      <x:c r="M357" s="12"/>
      <x:c r="N357" s="15" t="n">
        <x:f>IF(OR(L357="Operating",L357="Investing",L357="Financing"),C357,0)</x:f>
        <x:v>0</x:v>
      </x:c>
      <x:c r="O357" s="12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2"/>
      <x:c r="M358" s="12"/>
      <x:c r="N358" s="15" t="n">
        <x:f>IF(OR(L358="Operating",L358="Investing",L358="Financing"),C358,0)</x:f>
        <x:v>0</x:v>
      </x:c>
      <x:c r="O358" s="12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2"/>
      <x:c r="M359" s="12"/>
      <x:c r="N359" s="15" t="n">
        <x:f>IF(OR(L359="Operating",L359="Investing",L359="Financing"),C359,0)</x:f>
        <x:v>0</x:v>
      </x:c>
      <x:c r="O359" s="12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2"/>
      <x:c r="M360" s="12"/>
      <x:c r="N360" s="15" t="n">
        <x:f>IF(OR(L360="Operating",L360="Investing",L360="Financing"),C360,0)</x:f>
        <x:v>0</x:v>
      </x:c>
      <x:c r="O360" s="12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2"/>
      <x:c r="M361" s="12"/>
      <x:c r="N361" s="15" t="n">
        <x:f>IF(OR(L361="Operating",L361="Investing",L361="Financing"),C361,0)</x:f>
        <x:v>0</x:v>
      </x:c>
      <x:c r="O361" s="12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2"/>
      <x:c r="M362" s="12"/>
      <x:c r="N362" s="15" t="n">
        <x:f>IF(OR(L362="Operating",L362="Investing",L362="Financing"),C362,0)</x:f>
        <x:v>0</x:v>
      </x:c>
      <x:c r="O362" s="12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2"/>
      <x:c r="M363" s="12"/>
      <x:c r="N363" s="15" t="n">
        <x:f>IF(OR(L363="Operating",L363="Investing",L363="Financing"),C363,0)</x:f>
        <x:v>0</x:v>
      </x:c>
      <x:c r="O363" s="12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2"/>
      <x:c r="M364" s="12"/>
      <x:c r="N364" s="15" t="n">
        <x:f>IF(OR(L364="Operating",L364="Investing",L364="Financing"),C364,0)</x:f>
        <x:v>0</x:v>
      </x:c>
      <x:c r="O364" s="12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2"/>
      <x:c r="M365" s="12"/>
      <x:c r="N365" s="15" t="n">
        <x:f>IF(OR(L365="Operating",L365="Investing",L365="Financing"),C365,0)</x:f>
        <x:v>0</x:v>
      </x:c>
      <x:c r="O365" s="12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4"/>
      <x:c r="D366" s="14"/>
      <x:c r="E366" s="14"/>
      <x:c r="F366" s="14"/>
      <x:c r="G366" s="14"/>
      <x:c r="H366" s="14"/>
      <x:c r="I366" s="14"/>
      <x:c r="J366" s="14"/>
      <x:c r="K366" s="14"/>
      <x:c r="L366" s="12"/>
      <x:c r="M366" s="12"/>
      <x:c r="N366" s="15" t="n">
        <x:f>IF(OR(L366="Operating",L366="Investing",L366="Financing"),C366,0)</x:f>
        <x:v>0</x:v>
      </x:c>
      <x:c r="O366" s="12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4"/>
      <x:c r="D367" s="14"/>
      <x:c r="E367" s="14"/>
      <x:c r="F367" s="14"/>
      <x:c r="G367" s="14"/>
      <x:c r="H367" s="14"/>
      <x:c r="I367" s="14"/>
      <x:c r="J367" s="14"/>
      <x:c r="K367" s="14"/>
      <x:c r="L367" s="12"/>
      <x:c r="M367" s="12"/>
      <x:c r="N367" s="15" t="n">
        <x:f>IF(OR(L367="Operating",L367="Investing",L367="Financing"),C367,0)</x:f>
        <x:v>0</x:v>
      </x:c>
      <x:c r="O367" s="12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4"/>
      <x:c r="D368" s="14"/>
      <x:c r="E368" s="14"/>
      <x:c r="F368" s="14"/>
      <x:c r="G368" s="14"/>
      <x:c r="H368" s="14"/>
      <x:c r="I368" s="14"/>
      <x:c r="J368" s="14"/>
      <x:c r="K368" s="14"/>
      <x:c r="L368" s="12"/>
      <x:c r="M368" s="12"/>
      <x:c r="N368" s="15" t="n">
        <x:f>IF(OR(L368="Operating",L368="Investing",L368="Financing"),C368,0)</x:f>
        <x:v>0</x:v>
      </x:c>
      <x:c r="O368" s="12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4"/>
      <x:c r="D369" s="14"/>
      <x:c r="E369" s="14"/>
      <x:c r="F369" s="14"/>
      <x:c r="G369" s="14"/>
      <x:c r="H369" s="14"/>
      <x:c r="I369" s="14"/>
      <x:c r="J369" s="14"/>
      <x:c r="K369" s="14"/>
      <x:c r="L369" s="12"/>
      <x:c r="M369" s="12"/>
      <x:c r="N369" s="15" t="n">
        <x:f>IF(OR(L369="Operating",L369="Investing",L369="Financing"),C369,0)</x:f>
        <x:v>0</x:v>
      </x:c>
      <x:c r="O369" s="12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4"/>
      <x:c r="D370" s="14"/>
      <x:c r="E370" s="14"/>
      <x:c r="F370" s="14"/>
      <x:c r="G370" s="14"/>
      <x:c r="H370" s="14"/>
      <x:c r="I370" s="14"/>
      <x:c r="J370" s="14"/>
      <x:c r="K370" s="14"/>
      <x:c r="L370" s="12"/>
      <x:c r="M370" s="12"/>
      <x:c r="N370" s="15" t="n">
        <x:f>IF(OR(L370="Operating",L370="Investing",L370="Financing"),C370,0)</x:f>
        <x:v>0</x:v>
      </x:c>
      <x:c r="O370" s="12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4"/>
      <x:c r="D371" s="14"/>
      <x:c r="E371" s="14"/>
      <x:c r="F371" s="14"/>
      <x:c r="G371" s="14"/>
      <x:c r="H371" s="14"/>
      <x:c r="I371" s="14"/>
      <x:c r="J371" s="14"/>
      <x:c r="K371" s="14"/>
      <x:c r="L371" s="12"/>
      <x:c r="M371" s="12"/>
      <x:c r="N371" s="15" t="n">
        <x:f>IF(OR(L371="Operating",L371="Investing",L371="Financing"),C371,0)</x:f>
        <x:v>0</x:v>
      </x:c>
      <x:c r="O371" s="12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4"/>
      <x:c r="D372" s="14"/>
      <x:c r="E372" s="14"/>
      <x:c r="F372" s="14"/>
      <x:c r="G372" s="14"/>
      <x:c r="H372" s="14"/>
      <x:c r="I372" s="14"/>
      <x:c r="J372" s="14"/>
      <x:c r="K372" s="14"/>
      <x:c r="L372" s="12"/>
      <x:c r="M372" s="12"/>
      <x:c r="N372" s="15" t="n">
        <x:f>IF(OR(L372="Operating",L372="Investing",L372="Financing"),C372,0)</x:f>
        <x:v>0</x:v>
      </x:c>
      <x:c r="O372" s="12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4"/>
      <x:c r="D373" s="14"/>
      <x:c r="E373" s="14"/>
      <x:c r="F373" s="14"/>
      <x:c r="G373" s="14"/>
      <x:c r="H373" s="14"/>
      <x:c r="I373" s="14"/>
      <x:c r="J373" s="14"/>
      <x:c r="K373" s="14"/>
      <x:c r="L373" s="12"/>
      <x:c r="M373" s="12"/>
      <x:c r="N373" s="15" t="n">
        <x:f>IF(OR(L373="Operating",L373="Investing",L373="Financing"),C373,0)</x:f>
        <x:v>0</x:v>
      </x:c>
      <x:c r="O373" s="12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4"/>
      <x:c r="D374" s="14"/>
      <x:c r="E374" s="14"/>
      <x:c r="F374" s="14"/>
      <x:c r="G374" s="14"/>
      <x:c r="H374" s="14"/>
      <x:c r="I374" s="14"/>
      <x:c r="J374" s="14"/>
      <x:c r="K374" s="14"/>
      <x:c r="L374" s="12"/>
      <x:c r="M374" s="12"/>
      <x:c r="N374" s="15" t="n">
        <x:f>IF(OR(L374="Operating",L374="Investing",L374="Financing"),C374,0)</x:f>
        <x:v>0</x:v>
      </x:c>
      <x:c r="O374" s="12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4"/>
      <x:c r="D375" s="14"/>
      <x:c r="E375" s="14"/>
      <x:c r="F375" s="14"/>
      <x:c r="G375" s="14"/>
      <x:c r="H375" s="14"/>
      <x:c r="I375" s="14"/>
      <x:c r="J375" s="14"/>
      <x:c r="K375" s="14"/>
      <x:c r="L375" s="12"/>
      <x:c r="M375" s="12"/>
      <x:c r="N375" s="15" t="n">
        <x:f>IF(OR(L375="Operating",L375="Investing",L375="Financing"),C375,0)</x:f>
        <x:v>0</x:v>
      </x:c>
      <x:c r="O375" s="12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4"/>
      <x:c r="D376" s="14"/>
      <x:c r="E376" s="14"/>
      <x:c r="F376" s="14"/>
      <x:c r="G376" s="14"/>
      <x:c r="H376" s="14"/>
      <x:c r="I376" s="14"/>
      <x:c r="J376" s="14"/>
      <x:c r="K376" s="14"/>
      <x:c r="L376" s="12"/>
      <x:c r="M376" s="12"/>
      <x:c r="N376" s="15" t="n">
        <x:f>IF(OR(L376="Operating",L376="Investing",L376="Financing"),C376,0)</x:f>
        <x:v>0</x:v>
      </x:c>
      <x:c r="O376" s="12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4"/>
      <x:c r="D377" s="14"/>
      <x:c r="E377" s="14"/>
      <x:c r="F377" s="14"/>
      <x:c r="G377" s="14"/>
      <x:c r="H377" s="14"/>
      <x:c r="I377" s="14"/>
      <x:c r="J377" s="14"/>
      <x:c r="K377" s="14"/>
      <x:c r="L377" s="12"/>
      <x:c r="M377" s="12"/>
      <x:c r="N377" s="15" t="n">
        <x:f>IF(OR(L377="Operating",L377="Investing",L377="Financing"),C377,0)</x:f>
        <x:v>0</x:v>
      </x:c>
      <x:c r="O377" s="12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4"/>
      <x:c r="D378" s="14"/>
      <x:c r="E378" s="14"/>
      <x:c r="F378" s="14"/>
      <x:c r="G378" s="14"/>
      <x:c r="H378" s="14"/>
      <x:c r="I378" s="14"/>
      <x:c r="J378" s="14"/>
      <x:c r="K378" s="14"/>
      <x:c r="L378" s="12"/>
      <x:c r="M378" s="12"/>
      <x:c r="N378" s="15" t="n">
        <x:f>IF(OR(L378="Operating",L378="Investing",L378="Financing"),C378,0)</x:f>
        <x:v>0</x:v>
      </x:c>
      <x:c r="O378" s="12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4"/>
      <x:c r="D379" s="14"/>
      <x:c r="E379" s="14"/>
      <x:c r="F379" s="14"/>
      <x:c r="G379" s="14"/>
      <x:c r="H379" s="14"/>
      <x:c r="I379" s="14"/>
      <x:c r="J379" s="14"/>
      <x:c r="K379" s="14"/>
      <x:c r="L379" s="12"/>
      <x:c r="M379" s="12"/>
      <x:c r="N379" s="15" t="n">
        <x:f>IF(OR(L379="Operating",L379="Investing",L379="Financing"),C379,0)</x:f>
        <x:v>0</x:v>
      </x:c>
      <x:c r="O379" s="12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4"/>
      <x:c r="D380" s="14"/>
      <x:c r="E380" s="14"/>
      <x:c r="F380" s="14"/>
      <x:c r="G380" s="14"/>
      <x:c r="H380" s="14"/>
      <x:c r="I380" s="14"/>
      <x:c r="J380" s="14"/>
      <x:c r="K380" s="14"/>
      <x:c r="L380" s="12"/>
      <x:c r="M380" s="12"/>
      <x:c r="N380" s="15" t="n">
        <x:f>IF(OR(L380="Operating",L380="Investing",L380="Financing"),C380,0)</x:f>
        <x:v>0</x:v>
      </x:c>
      <x:c r="O380" s="12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4"/>
      <x:c r="D381" s="14"/>
      <x:c r="E381" s="14"/>
      <x:c r="F381" s="14"/>
      <x:c r="G381" s="14"/>
      <x:c r="H381" s="14"/>
      <x:c r="I381" s="14"/>
      <x:c r="J381" s="14"/>
      <x:c r="K381" s="14"/>
      <x:c r="L381" s="12"/>
      <x:c r="M381" s="12"/>
      <x:c r="N381" s="15" t="n">
        <x:f>IF(OR(L381="Operating",L381="Investing",L381="Financing"),C381,0)</x:f>
        <x:v>0</x:v>
      </x:c>
      <x:c r="O381" s="12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4"/>
      <x:c r="D382" s="14"/>
      <x:c r="E382" s="14"/>
      <x:c r="F382" s="14"/>
      <x:c r="G382" s="14"/>
      <x:c r="H382" s="14"/>
      <x:c r="I382" s="14"/>
      <x:c r="J382" s="14"/>
      <x:c r="K382" s="14"/>
      <x:c r="L382" s="12"/>
      <x:c r="M382" s="12"/>
      <x:c r="N382" s="15" t="n">
        <x:f>IF(OR(L382="Operating",L382="Investing",L382="Financing"),C382,0)</x:f>
        <x:v>0</x:v>
      </x:c>
      <x:c r="O382" s="12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4"/>
      <x:c r="D383" s="14"/>
      <x:c r="E383" s="14"/>
      <x:c r="F383" s="14"/>
      <x:c r="G383" s="14"/>
      <x:c r="H383" s="14"/>
      <x:c r="I383" s="14"/>
      <x:c r="J383" s="14"/>
      <x:c r="K383" s="14"/>
      <x:c r="L383" s="12"/>
      <x:c r="M383" s="12"/>
      <x:c r="N383" s="15" t="n">
        <x:f>IF(OR(L383="Operating",L383="Investing",L383="Financing"),C383,0)</x:f>
        <x:v>0</x:v>
      </x:c>
      <x:c r="O383" s="12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4"/>
      <x:c r="D384" s="14"/>
      <x:c r="E384" s="14"/>
      <x:c r="F384" s="14"/>
      <x:c r="G384" s="14"/>
      <x:c r="H384" s="14"/>
      <x:c r="I384" s="14"/>
      <x:c r="J384" s="14"/>
      <x:c r="K384" s="14"/>
      <x:c r="L384" s="12"/>
      <x:c r="M384" s="12"/>
      <x:c r="N384" s="15" t="n">
        <x:f>IF(OR(L384="Operating",L384="Investing",L384="Financing"),C384,0)</x:f>
        <x:v>0</x:v>
      </x:c>
      <x:c r="O384" s="12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4"/>
      <x:c r="D385" s="14"/>
      <x:c r="E385" s="14"/>
      <x:c r="F385" s="14"/>
      <x:c r="G385" s="14"/>
      <x:c r="H385" s="14"/>
      <x:c r="I385" s="14"/>
      <x:c r="J385" s="14"/>
      <x:c r="K385" s="14"/>
      <x:c r="L385" s="12"/>
      <x:c r="M385" s="12"/>
      <x:c r="N385" s="15" t="n">
        <x:f>IF(OR(L385="Operating",L385="Investing",L385="Financing"),C385,0)</x:f>
        <x:v>0</x:v>
      </x:c>
      <x:c r="O385" s="12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4"/>
      <x:c r="D386" s="14"/>
      <x:c r="E386" s="14"/>
      <x:c r="F386" s="14"/>
      <x:c r="G386" s="14"/>
      <x:c r="H386" s="14"/>
      <x:c r="I386" s="14"/>
      <x:c r="J386" s="14"/>
      <x:c r="K386" s="14"/>
      <x:c r="L386" s="12"/>
      <x:c r="M386" s="12"/>
      <x:c r="N386" s="15" t="n">
        <x:f>IF(OR(L386="Operating",L386="Investing",L386="Financing"),C386,0)</x:f>
        <x:v>0</x:v>
      </x:c>
      <x:c r="O386" s="12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4"/>
      <x:c r="D387" s="14"/>
      <x:c r="E387" s="14"/>
      <x:c r="F387" s="14"/>
      <x:c r="G387" s="14"/>
      <x:c r="H387" s="14"/>
      <x:c r="I387" s="14"/>
      <x:c r="J387" s="14"/>
      <x:c r="K387" s="14"/>
      <x:c r="L387" s="12"/>
      <x:c r="M387" s="12"/>
      <x:c r="N387" s="15" t="n">
        <x:f>IF(OR(L387="Operating",L387="Investing",L387="Financing"),C387,0)</x:f>
        <x:v>0</x:v>
      </x:c>
      <x:c r="O387" s="12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4"/>
      <x:c r="D388" s="14"/>
      <x:c r="E388" s="14"/>
      <x:c r="F388" s="14"/>
      <x:c r="G388" s="14"/>
      <x:c r="H388" s="14"/>
      <x:c r="I388" s="14"/>
      <x:c r="J388" s="14"/>
      <x:c r="K388" s="14"/>
      <x:c r="L388" s="12"/>
      <x:c r="M388" s="12"/>
      <x:c r="N388" s="15" t="n">
        <x:f>IF(OR(L388="Operating",L388="Investing",L388="Financing"),C388,0)</x:f>
        <x:v>0</x:v>
      </x:c>
      <x:c r="O388" s="12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4"/>
      <x:c r="D389" s="14"/>
      <x:c r="E389" s="14"/>
      <x:c r="F389" s="14"/>
      <x:c r="G389" s="14"/>
      <x:c r="H389" s="14"/>
      <x:c r="I389" s="14"/>
      <x:c r="J389" s="14"/>
      <x:c r="K389" s="14"/>
      <x:c r="L389" s="12"/>
      <x:c r="M389" s="12"/>
      <x:c r="N389" s="15" t="n">
        <x:f>IF(OR(L389="Operating",L389="Investing",L389="Financing"),C389,0)</x:f>
        <x:v>0</x:v>
      </x:c>
      <x:c r="O389" s="12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4"/>
      <x:c r="D390" s="14"/>
      <x:c r="E390" s="14"/>
      <x:c r="F390" s="14"/>
      <x:c r="G390" s="14"/>
      <x:c r="H390" s="14"/>
      <x:c r="I390" s="14"/>
      <x:c r="J390" s="14"/>
      <x:c r="K390" s="14"/>
      <x:c r="L390" s="12"/>
      <x:c r="M390" s="12"/>
      <x:c r="N390" s="15" t="n">
        <x:f>IF(OR(L390="Operating",L390="Investing",L390="Financing"),C390,0)</x:f>
        <x:v>0</x:v>
      </x:c>
      <x:c r="O390" s="12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4"/>
      <x:c r="D391" s="14"/>
      <x:c r="E391" s="14"/>
      <x:c r="F391" s="14"/>
      <x:c r="G391" s="14"/>
      <x:c r="H391" s="14"/>
      <x:c r="I391" s="14"/>
      <x:c r="J391" s="14"/>
      <x:c r="K391" s="14"/>
      <x:c r="L391" s="12"/>
      <x:c r="M391" s="12"/>
      <x:c r="N391" s="15" t="n">
        <x:f>IF(OR(L391="Operating",L391="Investing",L391="Financing"),C391,0)</x:f>
        <x:v>0</x:v>
      </x:c>
      <x:c r="O391" s="12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4"/>
      <x:c r="D392" s="14"/>
      <x:c r="E392" s="14"/>
      <x:c r="F392" s="14"/>
      <x:c r="G392" s="14"/>
      <x:c r="H392" s="14"/>
      <x:c r="I392" s="14"/>
      <x:c r="J392" s="14"/>
      <x:c r="K392" s="14"/>
      <x:c r="L392" s="12"/>
      <x:c r="M392" s="12"/>
      <x:c r="N392" s="15" t="n">
        <x:f>IF(OR(L392="Operating",L392="Investing",L392="Financing"),C392,0)</x:f>
        <x:v>0</x:v>
      </x:c>
      <x:c r="O392" s="12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4"/>
      <x:c r="D393" s="14"/>
      <x:c r="E393" s="14"/>
      <x:c r="F393" s="14"/>
      <x:c r="G393" s="14"/>
      <x:c r="H393" s="14"/>
      <x:c r="I393" s="14"/>
      <x:c r="J393" s="14"/>
      <x:c r="K393" s="14"/>
      <x:c r="L393" s="12"/>
      <x:c r="M393" s="12"/>
      <x:c r="N393" s="15" t="n">
        <x:f>IF(OR(L393="Operating",L393="Investing",L393="Financing"),C393,0)</x:f>
        <x:v>0</x:v>
      </x:c>
      <x:c r="O393" s="12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4"/>
      <x:c r="D394" s="14"/>
      <x:c r="E394" s="14"/>
      <x:c r="F394" s="14"/>
      <x:c r="G394" s="14"/>
      <x:c r="H394" s="14"/>
      <x:c r="I394" s="14"/>
      <x:c r="J394" s="14"/>
      <x:c r="K394" s="14"/>
      <x:c r="L394" s="12"/>
      <x:c r="M394" s="12"/>
      <x:c r="N394" s="15" t="n">
        <x:f>IF(OR(L394="Operating",L394="Investing",L394="Financing"),C394,0)</x:f>
        <x:v>0</x:v>
      </x:c>
      <x:c r="O394" s="12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4"/>
      <x:c r="D395" s="14"/>
      <x:c r="E395" s="14"/>
      <x:c r="F395" s="14"/>
      <x:c r="G395" s="14"/>
      <x:c r="H395" s="14"/>
      <x:c r="I395" s="14"/>
      <x:c r="J395" s="14"/>
      <x:c r="K395" s="14"/>
      <x:c r="L395" s="12"/>
      <x:c r="M395" s="12"/>
      <x:c r="N395" s="15" t="n">
        <x:f>IF(OR(L395="Operating",L395="Investing",L395="Financing"),C395,0)</x:f>
        <x:v>0</x:v>
      </x:c>
      <x:c r="O395" s="12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4"/>
      <x:c r="D396" s="14"/>
      <x:c r="E396" s="14"/>
      <x:c r="F396" s="14"/>
      <x:c r="G396" s="14"/>
      <x:c r="H396" s="14"/>
      <x:c r="I396" s="14"/>
      <x:c r="J396" s="14"/>
      <x:c r="K396" s="14"/>
      <x:c r="L396" s="12"/>
      <x:c r="M396" s="12"/>
      <x:c r="N396" s="15" t="n">
        <x:f>IF(OR(L396="Operating",L396="Investing",L396="Financing"),C396,0)</x:f>
        <x:v>0</x:v>
      </x:c>
      <x:c r="O396" s="12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4"/>
      <x:c r="D397" s="14"/>
      <x:c r="E397" s="14"/>
      <x:c r="F397" s="14"/>
      <x:c r="G397" s="14"/>
      <x:c r="H397" s="14"/>
      <x:c r="I397" s="14"/>
      <x:c r="J397" s="14"/>
      <x:c r="K397" s="14"/>
      <x:c r="L397" s="12"/>
      <x:c r="M397" s="12"/>
      <x:c r="N397" s="15" t="n">
        <x:f>IF(OR(L397="Operating",L397="Investing",L397="Financing"),C397,0)</x:f>
        <x:v>0</x:v>
      </x:c>
      <x:c r="O397" s="12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4"/>
      <x:c r="D398" s="14"/>
      <x:c r="E398" s="14"/>
      <x:c r="F398" s="14"/>
      <x:c r="G398" s="14"/>
      <x:c r="H398" s="14"/>
      <x:c r="I398" s="14"/>
      <x:c r="J398" s="14"/>
      <x:c r="K398" s="14"/>
      <x:c r="L398" s="12"/>
      <x:c r="M398" s="12"/>
      <x:c r="N398" s="15" t="n">
        <x:f>IF(OR(L398="Operating",L398="Investing",L398="Financing"),C398,0)</x:f>
        <x:v>0</x:v>
      </x:c>
      <x:c r="O398" s="12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4"/>
      <x:c r="D399" s="14"/>
      <x:c r="E399" s="14"/>
      <x:c r="F399" s="14"/>
      <x:c r="G399" s="14"/>
      <x:c r="H399" s="14"/>
      <x:c r="I399" s="14"/>
      <x:c r="J399" s="14"/>
      <x:c r="K399" s="14"/>
      <x:c r="L399" s="12"/>
      <x:c r="M399" s="12"/>
      <x:c r="N399" s="15" t="n">
        <x:f>IF(OR(L399="Operating",L399="Investing",L399="Financing"),C399,0)</x:f>
        <x:v>0</x:v>
      </x:c>
      <x:c r="O399" s="12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4"/>
      <x:c r="D400" s="14"/>
      <x:c r="E400" s="14"/>
      <x:c r="F400" s="14"/>
      <x:c r="G400" s="14"/>
      <x:c r="H400" s="14"/>
      <x:c r="I400" s="14"/>
      <x:c r="J400" s="14"/>
      <x:c r="K400" s="14"/>
      <x:c r="L400" s="12"/>
      <x:c r="M400" s="12"/>
      <x:c r="N400" s="15" t="n">
        <x:f>IF(OR(L400="Operating",L400="Investing",L400="Financing"),C400,0)</x:f>
        <x:v>0</x:v>
      </x:c>
      <x:c r="O400" s="12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>
      <x:c r="A401" s="1"/>
      <x:c r="B401" s="1"/>
      <x:c r="C401" s="14"/>
      <x:c r="D401" s="14"/>
      <x:c r="E401" s="14"/>
      <x:c r="F401" s="14"/>
      <x:c r="G401" s="14"/>
      <x:c r="H401" s="14"/>
      <x:c r="I401" s="14"/>
      <x:c r="J401" s="14"/>
      <x:c r="K401" s="14"/>
      <x:c r="L401" s="12"/>
      <x:c r="M401" s="12"/>
      <x:c r="N401" s="15" t="n">
        <x:f>IF(OR(L401="Operating",L401="Investing",L401="Financing"),C401,0)</x:f>
        <x:v>0</x:v>
      </x:c>
      <x:c r="O401" s="12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>
      <x:c r="A402" s="1"/>
      <x:c r="B402" s="1"/>
      <x:c r="C402" s="14"/>
      <x:c r="D402" s="14"/>
      <x:c r="E402" s="14"/>
      <x:c r="F402" s="14"/>
      <x:c r="G402" s="14"/>
      <x:c r="H402" s="14"/>
      <x:c r="I402" s="14"/>
      <x:c r="J402" s="14"/>
      <x:c r="K402" s="14"/>
      <x:c r="L402" s="12"/>
      <x:c r="M402" s="12"/>
      <x:c r="N402" s="15" t="n">
        <x:f>IF(OR(L402="Operating",L402="Investing",L402="Financing"),C402,0)</x:f>
        <x:v>0</x:v>
      </x:c>
      <x:c r="O402" s="12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>
      <x:c r="A403" s="1"/>
      <x:c r="B403" s="1"/>
      <x:c r="C403" s="14"/>
      <x:c r="D403" s="14"/>
      <x:c r="E403" s="14"/>
      <x:c r="F403" s="14"/>
      <x:c r="G403" s="14"/>
      <x:c r="H403" s="14"/>
      <x:c r="I403" s="14"/>
      <x:c r="J403" s="14"/>
      <x:c r="K403" s="14"/>
      <x:c r="L403" s="12"/>
      <x:c r="M403" s="12"/>
      <x:c r="N403" s="15" t="n">
        <x:f>IF(OR(L403="Operating",L403="Investing",L403="Financing"),C403,0)</x:f>
        <x:v>0</x:v>
      </x:c>
      <x:c r="O403" s="12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>
      <x:c r="A404" s="1"/>
      <x:c r="B404" s="1"/>
      <x:c r="C404" s="14"/>
      <x:c r="D404" s="14"/>
      <x:c r="E404" s="14"/>
      <x:c r="F404" s="14"/>
      <x:c r="G404" s="14"/>
      <x:c r="H404" s="14"/>
      <x:c r="I404" s="14"/>
      <x:c r="J404" s="14"/>
      <x:c r="K404" s="14"/>
      <x:c r="L404" s="12"/>
      <x:c r="M404" s="12"/>
      <x:c r="N404" s="15" t="n">
        <x:f>IF(OR(L404="Operating",L404="Investing",L404="Financing"),C404,0)</x:f>
        <x:v>0</x:v>
      </x:c>
      <x:c r="O404" s="12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>
      <x:c r="A405" s="1"/>
      <x:c r="B405" s="1"/>
      <x:c r="C405" s="14"/>
      <x:c r="D405" s="14"/>
      <x:c r="E405" s="14"/>
      <x:c r="F405" s="14"/>
      <x:c r="G405" s="14"/>
      <x:c r="H405" s="14"/>
      <x:c r="I405" s="14"/>
      <x:c r="J405" s="14"/>
      <x:c r="K405" s="14"/>
      <x:c r="L405" s="12"/>
      <x:c r="M405" s="12"/>
      <x:c r="N405" s="15" t="n">
        <x:f>IF(OR(L405="Operating",L405="Investing",L405="Financing"),C405,0)</x:f>
        <x:v>0</x:v>
      </x:c>
      <x:c r="O405" s="12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>
      <x:c r="A406" s="1"/>
      <x:c r="B406" s="1"/>
      <x:c r="C406" s="14"/>
      <x:c r="D406" s="14"/>
      <x:c r="E406" s="14"/>
      <x:c r="F406" s="14"/>
      <x:c r="G406" s="14"/>
      <x:c r="H406" s="14"/>
      <x:c r="I406" s="14"/>
      <x:c r="J406" s="14"/>
      <x:c r="K406" s="14"/>
      <x:c r="L406" s="12"/>
      <x:c r="M406" s="12"/>
      <x:c r="N406" s="15" t="n">
        <x:f>IF(OR(L406="Operating",L406="Investing",L406="Financing"),C406,0)</x:f>
        <x:v>0</x:v>
      </x:c>
      <x:c r="O406" s="12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>
      <x:c r="A407" s="1"/>
      <x:c r="B407" s="1"/>
      <x:c r="C407" s="14"/>
      <x:c r="D407" s="14"/>
      <x:c r="E407" s="14"/>
      <x:c r="F407" s="14"/>
      <x:c r="G407" s="14"/>
      <x:c r="H407" s="14"/>
      <x:c r="I407" s="14"/>
      <x:c r="J407" s="14"/>
      <x:c r="K407" s="14"/>
      <x:c r="L407" s="12"/>
      <x:c r="M407" s="12"/>
      <x:c r="N407" s="15" t="n">
        <x:f>IF(OR(L407="Operating",L407="Investing",L407="Financing"),C407,0)</x:f>
        <x:v>0</x:v>
      </x:c>
      <x:c r="O407" s="12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>
      <x:c r="A408" s="1"/>
      <x:c r="B408" s="1"/>
      <x:c r="C408" s="14"/>
      <x:c r="D408" s="14"/>
      <x:c r="E408" s="14"/>
      <x:c r="F408" s="14"/>
      <x:c r="G408" s="14"/>
      <x:c r="H408" s="14"/>
      <x:c r="I408" s="14"/>
      <x:c r="J408" s="14"/>
      <x:c r="K408" s="14"/>
      <x:c r="L408" s="12"/>
      <x:c r="M408" s="12"/>
      <x:c r="N408" s="15" t="n">
        <x:f>IF(OR(L408="Operating",L408="Investing",L408="Financing"),C408,0)</x:f>
        <x:v>0</x:v>
      </x:c>
      <x:c r="O408" s="12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>
      <x:c r="A409" s="1"/>
      <x:c r="B409" s="1"/>
      <x:c r="C409" s="14"/>
      <x:c r="D409" s="14"/>
      <x:c r="E409" s="14"/>
      <x:c r="F409" s="14"/>
      <x:c r="G409" s="14"/>
      <x:c r="H409" s="14"/>
      <x:c r="I409" s="14"/>
      <x:c r="J409" s="14"/>
      <x:c r="K409" s="14"/>
      <x:c r="L409" s="12"/>
      <x:c r="M409" s="12"/>
      <x:c r="N409" s="15" t="n">
        <x:f>IF(OR(L409="Operating",L409="Investing",L409="Financing"),C409,0)</x:f>
        <x:v>0</x:v>
      </x:c>
      <x:c r="O409" s="12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>
      <x:c r="A410" s="1"/>
      <x:c r="B410" s="1"/>
      <x:c r="C410" s="14"/>
      <x:c r="D410" s="14"/>
      <x:c r="E410" s="14"/>
      <x:c r="F410" s="14"/>
      <x:c r="G410" s="14"/>
      <x:c r="H410" s="14"/>
      <x:c r="I410" s="14"/>
      <x:c r="J410" s="14"/>
      <x:c r="K410" s="14"/>
      <x:c r="L410" s="12"/>
      <x:c r="M410" s="12"/>
      <x:c r="N410" s="15" t="n">
        <x:f>IF(OR(L410="Operating",L410="Investing",L410="Financing"),C410,0)</x:f>
        <x:v>0</x:v>
      </x:c>
      <x:c r="O410" s="12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>
      <x:c r="A411" s="1"/>
      <x:c r="B411" s="1"/>
      <x:c r="C411" s="14"/>
      <x:c r="D411" s="14"/>
      <x:c r="E411" s="14"/>
      <x:c r="F411" s="14"/>
      <x:c r="G411" s="14"/>
      <x:c r="H411" s="14"/>
      <x:c r="I411" s="14"/>
      <x:c r="J411" s="14"/>
      <x:c r="K411" s="14"/>
      <x:c r="L411" s="12"/>
      <x:c r="M411" s="12"/>
      <x:c r="N411" s="15" t="n">
        <x:f>IF(OR(L411="Operating",L411="Investing",L411="Financing"),C411,0)</x:f>
        <x:v>0</x:v>
      </x:c>
      <x:c r="O411" s="12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>
      <x:c r="A412" s="1"/>
      <x:c r="B412" s="1"/>
      <x:c r="C412" s="14"/>
      <x:c r="D412" s="14"/>
      <x:c r="E412" s="14"/>
      <x:c r="F412" s="14"/>
      <x:c r="G412" s="14"/>
      <x:c r="H412" s="14"/>
      <x:c r="I412" s="14"/>
      <x:c r="J412" s="14"/>
      <x:c r="K412" s="14"/>
      <x:c r="L412" s="12"/>
      <x:c r="M412" s="12"/>
      <x:c r="N412" s="15" t="n">
        <x:f>IF(OR(L412="Operating",L412="Investing",L412="Financing"),C412,0)</x:f>
        <x:v>0</x:v>
      </x:c>
      <x:c r="O412" s="12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>
      <x:c r="A413" s="1"/>
      <x:c r="B413" s="1"/>
      <x:c r="C413" s="14"/>
      <x:c r="D413" s="14"/>
      <x:c r="E413" s="14"/>
      <x:c r="F413" s="14"/>
      <x:c r="G413" s="14"/>
      <x:c r="H413" s="14"/>
      <x:c r="I413" s="14"/>
      <x:c r="J413" s="14"/>
      <x:c r="K413" s="14"/>
      <x:c r="L413" s="12"/>
      <x:c r="M413" s="12"/>
      <x:c r="N413" s="15" t="n">
        <x:f>IF(OR(L413="Operating",L413="Investing",L413="Financing"),C413,0)</x:f>
        <x:v>0</x:v>
      </x:c>
      <x:c r="O413" s="12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>
      <x:c r="A414" s="1"/>
      <x:c r="B414" s="1"/>
      <x:c r="C414" s="14"/>
      <x:c r="D414" s="14"/>
      <x:c r="E414" s="14"/>
      <x:c r="F414" s="14"/>
      <x:c r="G414" s="14"/>
      <x:c r="H414" s="14"/>
      <x:c r="I414" s="14"/>
      <x:c r="J414" s="14"/>
      <x:c r="K414" s="14"/>
      <x:c r="L414" s="12"/>
      <x:c r="M414" s="12"/>
      <x:c r="N414" s="15" t="n">
        <x:f>IF(OR(L414="Operating",L414="Investing",L414="Financing"),C414,0)</x:f>
        <x:v>0</x:v>
      </x:c>
      <x:c r="O414" s="12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>
      <x:c r="A415" s="1"/>
      <x:c r="B415" s="1"/>
      <x:c r="C415" s="14"/>
      <x:c r="D415" s="14"/>
      <x:c r="E415" s="14"/>
      <x:c r="F415" s="14"/>
      <x:c r="G415" s="14"/>
      <x:c r="H415" s="14"/>
      <x:c r="I415" s="14"/>
      <x:c r="J415" s="14"/>
      <x:c r="K415" s="14"/>
      <x:c r="L415" s="12"/>
      <x:c r="M415" s="12"/>
      <x:c r="N415" s="15" t="n">
        <x:f>IF(OR(L415="Operating",L415="Investing",L415="Financing"),C415,0)</x:f>
        <x:v>0</x:v>
      </x:c>
      <x:c r="O415" s="12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>
      <x:c r="A416" s="1"/>
      <x:c r="B416" s="1"/>
      <x:c r="C416" s="14"/>
      <x:c r="D416" s="14"/>
      <x:c r="E416" s="14"/>
      <x:c r="F416" s="14"/>
      <x:c r="G416" s="14"/>
      <x:c r="H416" s="14"/>
      <x:c r="I416" s="14"/>
      <x:c r="J416" s="14"/>
      <x:c r="K416" s="14"/>
      <x:c r="L416" s="12"/>
      <x:c r="M416" s="12"/>
      <x:c r="N416" s="15" t="n">
        <x:f>IF(OR(L416="Operating",L416="Investing",L416="Financing"),C416,0)</x:f>
        <x:v>0</x:v>
      </x:c>
      <x:c r="O416" s="12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>
      <x:c r="A417" s="1"/>
      <x:c r="B417" s="1"/>
      <x:c r="C417" s="14"/>
      <x:c r="D417" s="14"/>
      <x:c r="E417" s="14"/>
      <x:c r="F417" s="14"/>
      <x:c r="G417" s="14"/>
      <x:c r="H417" s="14"/>
      <x:c r="I417" s="14"/>
      <x:c r="J417" s="14"/>
      <x:c r="K417" s="14"/>
      <x:c r="L417" s="12"/>
      <x:c r="M417" s="12"/>
      <x:c r="N417" s="15" t="n">
        <x:f>IF(OR(L417="Operating",L417="Investing",L417="Financing"),C417,0)</x:f>
        <x:v>0</x:v>
      </x:c>
      <x:c r="O417" s="12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>
      <x:c r="A418" s="1"/>
      <x:c r="B418" s="1"/>
      <x:c r="C418" s="14"/>
      <x:c r="D418" s="14"/>
      <x:c r="E418" s="14"/>
      <x:c r="F418" s="14"/>
      <x:c r="G418" s="14"/>
      <x:c r="H418" s="14"/>
      <x:c r="I418" s="14"/>
      <x:c r="J418" s="14"/>
      <x:c r="K418" s="14"/>
      <x:c r="L418" s="12"/>
      <x:c r="M418" s="12"/>
      <x:c r="N418" s="15" t="n">
        <x:f>IF(OR(L418="Operating",L418="Investing",L418="Financing"),C418,0)</x:f>
        <x:v>0</x:v>
      </x:c>
      <x:c r="O418" s="12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>
      <x:c r="A419" s="1"/>
      <x:c r="B419" s="1"/>
      <x:c r="C419" s="14"/>
      <x:c r="D419" s="14"/>
      <x:c r="E419" s="14"/>
      <x:c r="F419" s="14"/>
      <x:c r="G419" s="14"/>
      <x:c r="H419" s="14"/>
      <x:c r="I419" s="14"/>
      <x:c r="J419" s="14"/>
      <x:c r="K419" s="14"/>
      <x:c r="L419" s="12"/>
      <x:c r="M419" s="12"/>
      <x:c r="N419" s="15" t="n">
        <x:f>IF(OR(L419="Operating",L419="Investing",L419="Financing"),C419,0)</x:f>
        <x:v>0</x:v>
      </x:c>
      <x:c r="O419" s="12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>
      <x:c r="A420" s="1"/>
      <x:c r="B420" s="1"/>
      <x:c r="C420" s="14"/>
      <x:c r="D420" s="14"/>
      <x:c r="E420" s="14"/>
      <x:c r="F420" s="14"/>
      <x:c r="G420" s="14"/>
      <x:c r="H420" s="14"/>
      <x:c r="I420" s="14"/>
      <x:c r="J420" s="14"/>
      <x:c r="K420" s="14"/>
      <x:c r="L420" s="12"/>
      <x:c r="M420" s="12"/>
      <x:c r="N420" s="15" t="n">
        <x:f>IF(OR(L420="Operating",L420="Investing",L420="Financing"),C420,0)</x:f>
        <x:v>0</x:v>
      </x:c>
      <x:c r="O420" s="12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>
      <x:c r="A421" s="1"/>
      <x:c r="B421" s="1"/>
      <x:c r="C421" s="14"/>
      <x:c r="D421" s="14"/>
      <x:c r="E421" s="14"/>
      <x:c r="F421" s="14"/>
      <x:c r="G421" s="14"/>
      <x:c r="H421" s="14"/>
      <x:c r="I421" s="14"/>
      <x:c r="J421" s="14"/>
      <x:c r="K421" s="14"/>
      <x:c r="L421" s="12"/>
      <x:c r="M421" s="12"/>
      <x:c r="N421" s="15" t="n">
        <x:f>IF(OR(L421="Operating",L421="Investing",L421="Financing"),C421,0)</x:f>
        <x:v>0</x:v>
      </x:c>
      <x:c r="O421" s="12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>
      <x:c r="A422" s="1"/>
      <x:c r="B422" s="1"/>
      <x:c r="C422" s="14"/>
      <x:c r="D422" s="14"/>
      <x:c r="E422" s="14"/>
      <x:c r="F422" s="14"/>
      <x:c r="G422" s="14"/>
      <x:c r="H422" s="14"/>
      <x:c r="I422" s="14"/>
      <x:c r="J422" s="14"/>
      <x:c r="K422" s="14"/>
      <x:c r="L422" s="12"/>
      <x:c r="M422" s="12"/>
      <x:c r="N422" s="15" t="n">
        <x:f>IF(OR(L422="Operating",L422="Investing",L422="Financing"),C422,0)</x:f>
        <x:v>0</x:v>
      </x:c>
      <x:c r="O422" s="12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>
      <x:c r="A423" s="1"/>
      <x:c r="B423" s="1"/>
      <x:c r="C423" s="14"/>
      <x:c r="D423" s="14"/>
      <x:c r="E423" s="14"/>
      <x:c r="F423" s="14"/>
      <x:c r="G423" s="14"/>
      <x:c r="H423" s="14"/>
      <x:c r="I423" s="14"/>
      <x:c r="J423" s="14"/>
      <x:c r="K423" s="14"/>
      <x:c r="L423" s="12"/>
      <x:c r="M423" s="12"/>
      <x:c r="N423" s="15" t="n">
        <x:f>IF(OR(L423="Operating",L423="Investing",L423="Financing"),C423,0)</x:f>
        <x:v>0</x:v>
      </x:c>
      <x:c r="O423" s="12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>
      <x:c r="A424" s="1"/>
      <x:c r="B424" s="1"/>
      <x:c r="C424" s="14"/>
      <x:c r="D424" s="14"/>
      <x:c r="E424" s="14"/>
      <x:c r="F424" s="14"/>
      <x:c r="G424" s="14"/>
      <x:c r="H424" s="14"/>
      <x:c r="I424" s="14"/>
      <x:c r="J424" s="14"/>
      <x:c r="K424" s="14"/>
      <x:c r="L424" s="12"/>
      <x:c r="M424" s="12"/>
      <x:c r="N424" s="15" t="n">
        <x:f>IF(OR(L424="Operating",L424="Investing",L424="Financing"),C424,0)</x:f>
        <x:v>0</x:v>
      </x:c>
      <x:c r="O424" s="12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>
      <x:c r="A425" s="1"/>
      <x:c r="B425" s="1"/>
      <x:c r="C425" s="14"/>
      <x:c r="D425" s="14"/>
      <x:c r="E425" s="14"/>
      <x:c r="F425" s="14"/>
      <x:c r="G425" s="14"/>
      <x:c r="H425" s="14"/>
      <x:c r="I425" s="14"/>
      <x:c r="J425" s="14"/>
      <x:c r="K425" s="14"/>
      <x:c r="L425" s="12"/>
      <x:c r="M425" s="12"/>
      <x:c r="N425" s="15" t="n">
        <x:f>IF(OR(L425="Operating",L425="Investing",L425="Financing"),C425,0)</x:f>
        <x:v>0</x:v>
      </x:c>
      <x:c r="O425" s="12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>
      <x:c r="A426" s="1"/>
      <x:c r="B426" s="1"/>
      <x:c r="C426" s="14"/>
      <x:c r="D426" s="14"/>
      <x:c r="E426" s="14"/>
      <x:c r="F426" s="14"/>
      <x:c r="G426" s="14"/>
      <x:c r="H426" s="14"/>
      <x:c r="I426" s="14"/>
      <x:c r="J426" s="14"/>
      <x:c r="K426" s="14"/>
      <x:c r="L426" s="12"/>
      <x:c r="M426" s="12"/>
      <x:c r="N426" s="15" t="n">
        <x:f>IF(OR(L426="Operating",L426="Investing",L426="Financing"),C426,0)</x:f>
        <x:v>0</x:v>
      </x:c>
      <x:c r="O426" s="12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>
      <x:c r="A427" s="1"/>
      <x:c r="B427" s="1"/>
      <x:c r="C427" s="14"/>
      <x:c r="D427" s="14"/>
      <x:c r="E427" s="14"/>
      <x:c r="F427" s="14"/>
      <x:c r="G427" s="14"/>
      <x:c r="H427" s="14"/>
      <x:c r="I427" s="14"/>
      <x:c r="J427" s="14"/>
      <x:c r="K427" s="14"/>
      <x:c r="L427" s="12"/>
      <x:c r="M427" s="12"/>
      <x:c r="N427" s="15" t="n">
        <x:f>IF(OR(L427="Operating",L427="Investing",L427="Financing"),C427,0)</x:f>
        <x:v>0</x:v>
      </x:c>
      <x:c r="O427" s="12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>
      <x:c r="A428" s="1"/>
      <x:c r="B428" s="1"/>
      <x:c r="C428" s="14"/>
      <x:c r="D428" s="14"/>
      <x:c r="E428" s="14"/>
      <x:c r="F428" s="14"/>
      <x:c r="G428" s="14"/>
      <x:c r="H428" s="14"/>
      <x:c r="I428" s="14"/>
      <x:c r="J428" s="14"/>
      <x:c r="K428" s="14"/>
      <x:c r="L428" s="12"/>
      <x:c r="M428" s="12"/>
      <x:c r="N428" s="15" t="n">
        <x:f>IF(OR(L428="Operating",L428="Investing",L428="Financing"),C428,0)</x:f>
        <x:v>0</x:v>
      </x:c>
      <x:c r="O428" s="12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>
      <x:c r="A429" s="1"/>
      <x:c r="B429" s="1"/>
      <x:c r="C429" s="14"/>
      <x:c r="D429" s="14"/>
      <x:c r="E429" s="14"/>
      <x:c r="F429" s="14"/>
      <x:c r="G429" s="14"/>
      <x:c r="H429" s="14"/>
      <x:c r="I429" s="14"/>
      <x:c r="J429" s="14"/>
      <x:c r="K429" s="14"/>
      <x:c r="L429" s="12"/>
      <x:c r="M429" s="12"/>
      <x:c r="N429" s="15" t="n">
        <x:f>IF(OR(L429="Operating",L429="Investing",L429="Financing"),C429,0)</x:f>
        <x:v>0</x:v>
      </x:c>
      <x:c r="O429" s="12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>
      <x:c r="A430" s="1"/>
      <x:c r="B430" s="1"/>
      <x:c r="C430" s="14"/>
      <x:c r="D430" s="14"/>
      <x:c r="E430" s="14"/>
      <x:c r="F430" s="14"/>
      <x:c r="G430" s="14"/>
      <x:c r="H430" s="14"/>
      <x:c r="I430" s="14"/>
      <x:c r="J430" s="14"/>
      <x:c r="K430" s="14"/>
      <x:c r="L430" s="12"/>
      <x:c r="M430" s="12"/>
      <x:c r="N430" s="15" t="n">
        <x:f>IF(OR(L430="Operating",L430="Investing",L430="Financing"),C430,0)</x:f>
        <x:v>0</x:v>
      </x:c>
      <x:c r="O430" s="12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>
      <x:c r="A431" s="1"/>
      <x:c r="B431" s="1"/>
      <x:c r="C431" s="14"/>
      <x:c r="D431" s="14"/>
      <x:c r="E431" s="14"/>
      <x:c r="F431" s="14"/>
      <x:c r="G431" s="14"/>
      <x:c r="H431" s="14"/>
      <x:c r="I431" s="14"/>
      <x:c r="J431" s="14"/>
      <x:c r="K431" s="14"/>
      <x:c r="L431" s="12"/>
      <x:c r="M431" s="12"/>
      <x:c r="N431" s="15" t="n">
        <x:f>IF(OR(L431="Operating",L431="Investing",L431="Financing"),C431,0)</x:f>
        <x:v>0</x:v>
      </x:c>
      <x:c r="O431" s="12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>
      <x:c r="A432" s="1"/>
      <x:c r="B432" s="1"/>
      <x:c r="C432" s="14"/>
      <x:c r="D432" s="14"/>
      <x:c r="E432" s="14"/>
      <x:c r="F432" s="14"/>
      <x:c r="G432" s="14"/>
      <x:c r="H432" s="14"/>
      <x:c r="I432" s="14"/>
      <x:c r="J432" s="14"/>
      <x:c r="K432" s="14"/>
      <x:c r="L432" s="12"/>
      <x:c r="M432" s="12"/>
      <x:c r="N432" s="15" t="n">
        <x:f>IF(OR(L432="Operating",L432="Investing",L432="Financing"),C432,0)</x:f>
        <x:v>0</x:v>
      </x:c>
      <x:c r="O432" s="12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>
      <x:c r="A433" s="1"/>
      <x:c r="B433" s="1"/>
      <x:c r="C433" s="14"/>
      <x:c r="D433" s="14"/>
      <x:c r="E433" s="14"/>
      <x:c r="F433" s="14"/>
      <x:c r="G433" s="14"/>
      <x:c r="H433" s="14"/>
      <x:c r="I433" s="14"/>
      <x:c r="J433" s="14"/>
      <x:c r="K433" s="14"/>
      <x:c r="L433" s="12"/>
      <x:c r="M433" s="12"/>
      <x:c r="N433" s="15" t="n">
        <x:f>IF(OR(L433="Operating",L433="Investing",L433="Financing"),C433,0)</x:f>
        <x:v>0</x:v>
      </x:c>
      <x:c r="O433" s="12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>
      <x:c r="A434" s="1"/>
      <x:c r="B434" s="1"/>
      <x:c r="C434" s="14"/>
      <x:c r="D434" s="14"/>
      <x:c r="E434" s="14"/>
      <x:c r="F434" s="14"/>
      <x:c r="G434" s="14"/>
      <x:c r="H434" s="14"/>
      <x:c r="I434" s="14"/>
      <x:c r="J434" s="14"/>
      <x:c r="K434" s="14"/>
      <x:c r="L434" s="12"/>
      <x:c r="M434" s="12"/>
      <x:c r="N434" s="15" t="n">
        <x:f>IF(OR(L434="Operating",L434="Investing",L434="Financing"),C434,0)</x:f>
        <x:v>0</x:v>
      </x:c>
      <x:c r="O434" s="12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>
      <x:c r="A435" s="1"/>
      <x:c r="B435" s="1"/>
      <x:c r="C435" s="14"/>
      <x:c r="D435" s="14"/>
      <x:c r="E435" s="14"/>
      <x:c r="F435" s="14"/>
      <x:c r="G435" s="14"/>
      <x:c r="H435" s="14"/>
      <x:c r="I435" s="14"/>
      <x:c r="J435" s="14"/>
      <x:c r="K435" s="14"/>
      <x:c r="L435" s="12"/>
      <x:c r="M435" s="12"/>
      <x:c r="N435" s="15" t="n">
        <x:f>IF(OR(L435="Operating",L435="Investing",L435="Financing"),C435,0)</x:f>
        <x:v>0</x:v>
      </x:c>
      <x:c r="O435" s="12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>
      <x:c r="A436" s="1"/>
      <x:c r="B436" s="1"/>
      <x:c r="C436" s="14"/>
      <x:c r="D436" s="14"/>
      <x:c r="E436" s="14"/>
      <x:c r="F436" s="14"/>
      <x:c r="G436" s="14"/>
      <x:c r="H436" s="14"/>
      <x:c r="I436" s="14"/>
      <x:c r="J436" s="14"/>
      <x:c r="K436" s="14"/>
      <x:c r="L436" s="12"/>
      <x:c r="M436" s="12"/>
      <x:c r="N436" s="15" t="n">
        <x:f>IF(OR(L436="Operating",L436="Investing",L436="Financing"),C436,0)</x:f>
        <x:v>0</x:v>
      </x:c>
      <x:c r="O436" s="12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>
      <x:c r="A437" s="1"/>
      <x:c r="B437" s="1"/>
      <x:c r="C437" s="14"/>
      <x:c r="D437" s="14"/>
      <x:c r="E437" s="14"/>
      <x:c r="F437" s="14"/>
      <x:c r="G437" s="14"/>
      <x:c r="H437" s="14"/>
      <x:c r="I437" s="14"/>
      <x:c r="J437" s="14"/>
      <x:c r="K437" s="14"/>
      <x:c r="L437" s="12"/>
      <x:c r="M437" s="12"/>
      <x:c r="N437" s="15" t="n">
        <x:f>IF(OR(L437="Operating",L437="Investing",L437="Financing"),C437,0)</x:f>
        <x:v>0</x:v>
      </x:c>
      <x:c r="O437" s="12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>
      <x:c r="A438" s="1"/>
      <x:c r="B438" s="1"/>
      <x:c r="C438" s="14"/>
      <x:c r="D438" s="14"/>
      <x:c r="E438" s="14"/>
      <x:c r="F438" s="14"/>
      <x:c r="G438" s="14"/>
      <x:c r="H438" s="14"/>
      <x:c r="I438" s="14"/>
      <x:c r="J438" s="14"/>
      <x:c r="K438" s="14"/>
      <x:c r="L438" s="12"/>
      <x:c r="M438" s="12"/>
      <x:c r="N438" s="15" t="n">
        <x:f>IF(OR(L438="Operating",L438="Investing",L438="Financing"),C438,0)</x:f>
        <x:v>0</x:v>
      </x:c>
      <x:c r="O438" s="12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>
      <x:c r="A439" s="1"/>
      <x:c r="B439" s="1"/>
      <x:c r="C439" s="14"/>
      <x:c r="D439" s="14"/>
      <x:c r="E439" s="14"/>
      <x:c r="F439" s="14"/>
      <x:c r="G439" s="14"/>
      <x:c r="H439" s="14"/>
      <x:c r="I439" s="14"/>
      <x:c r="J439" s="14"/>
      <x:c r="K439" s="14"/>
      <x:c r="L439" s="12"/>
      <x:c r="M439" s="12"/>
      <x:c r="N439" s="15" t="n">
        <x:f>IF(OR(L439="Operating",L439="Investing",L439="Financing"),C439,0)</x:f>
        <x:v>0</x:v>
      </x:c>
      <x:c r="O439" s="12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>
      <x:c r="A440" s="1"/>
      <x:c r="B440" s="1"/>
      <x:c r="C440" s="14"/>
      <x:c r="D440" s="14"/>
      <x:c r="E440" s="14"/>
      <x:c r="F440" s="14"/>
      <x:c r="G440" s="14"/>
      <x:c r="H440" s="14"/>
      <x:c r="I440" s="14"/>
      <x:c r="J440" s="14"/>
      <x:c r="K440" s="14"/>
      <x:c r="L440" s="12"/>
      <x:c r="M440" s="12"/>
      <x:c r="N440" s="15" t="n">
        <x:f>IF(OR(L440="Operating",L440="Investing",L440="Financing"),C440,0)</x:f>
        <x:v>0</x:v>
      </x:c>
      <x:c r="O440" s="12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>
      <x:c r="A441" s="1"/>
      <x:c r="B441" s="1"/>
      <x:c r="C441" s="14"/>
      <x:c r="D441" s="14"/>
      <x:c r="E441" s="14"/>
      <x:c r="F441" s="14"/>
      <x:c r="G441" s="14"/>
      <x:c r="H441" s="14"/>
      <x:c r="I441" s="14"/>
      <x:c r="J441" s="14"/>
      <x:c r="K441" s="14"/>
      <x:c r="L441" s="12"/>
      <x:c r="M441" s="12"/>
      <x:c r="N441" s="15" t="n">
        <x:f>IF(OR(L441="Operating",L441="Investing",L441="Financing"),C441,0)</x:f>
        <x:v>0</x:v>
      </x:c>
      <x:c r="O441" s="12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>
      <x:c r="A442" s="1"/>
      <x:c r="B442" s="1"/>
      <x:c r="C442" s="14"/>
      <x:c r="D442" s="14"/>
      <x:c r="E442" s="14"/>
      <x:c r="F442" s="14"/>
      <x:c r="G442" s="14"/>
      <x:c r="H442" s="14"/>
      <x:c r="I442" s="14"/>
      <x:c r="J442" s="14"/>
      <x:c r="K442" s="14"/>
      <x:c r="L442" s="12"/>
      <x:c r="M442" s="12"/>
      <x:c r="N442" s="15" t="n">
        <x:f>IF(OR(L442="Operating",L442="Investing",L442="Financing"),C442,0)</x:f>
        <x:v>0</x:v>
      </x:c>
      <x:c r="O442" s="12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>
      <x:c r="A443" s="1"/>
      <x:c r="B443" s="1"/>
      <x:c r="C443" s="14"/>
      <x:c r="D443" s="14"/>
      <x:c r="E443" s="14"/>
      <x:c r="F443" s="14"/>
      <x:c r="G443" s="14"/>
      <x:c r="H443" s="14"/>
      <x:c r="I443" s="14"/>
      <x:c r="J443" s="14"/>
      <x:c r="K443" s="14"/>
      <x:c r="L443" s="12"/>
      <x:c r="M443" s="12"/>
      <x:c r="N443" s="15" t="n">
        <x:f>IF(OR(L443="Operating",L443="Investing",L443="Financing"),C443,0)</x:f>
        <x:v>0</x:v>
      </x:c>
      <x:c r="O443" s="12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>
      <x:c r="A444" s="1"/>
      <x:c r="B444" s="1"/>
      <x:c r="C444" s="14"/>
      <x:c r="D444" s="14"/>
      <x:c r="E444" s="14"/>
      <x:c r="F444" s="14"/>
      <x:c r="G444" s="14"/>
      <x:c r="H444" s="14"/>
      <x:c r="I444" s="14"/>
      <x:c r="J444" s="14"/>
      <x:c r="K444" s="14"/>
      <x:c r="L444" s="12"/>
      <x:c r="M444" s="12"/>
      <x:c r="N444" s="15" t="n">
        <x:f>IF(OR(L444="Operating",L444="Investing",L444="Financing"),C444,0)</x:f>
        <x:v>0</x:v>
      </x:c>
      <x:c r="O444" s="12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>
      <x:c r="A445" s="1"/>
      <x:c r="B445" s="1"/>
      <x:c r="C445" s="14"/>
      <x:c r="D445" s="14"/>
      <x:c r="E445" s="14"/>
      <x:c r="F445" s="14"/>
      <x:c r="G445" s="14"/>
      <x:c r="H445" s="14"/>
      <x:c r="I445" s="14"/>
      <x:c r="J445" s="14"/>
      <x:c r="K445" s="14"/>
      <x:c r="L445" s="12"/>
      <x:c r="M445" s="12"/>
      <x:c r="N445" s="15" t="n">
        <x:f>IF(OR(L445="Operating",L445="Investing",L445="Financing"),C445,0)</x:f>
        <x:v>0</x:v>
      </x:c>
      <x:c r="O445" s="12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>
      <x:c r="A446" s="1"/>
      <x:c r="B446" s="1"/>
      <x:c r="C446" s="14"/>
      <x:c r="D446" s="14"/>
      <x:c r="E446" s="14"/>
      <x:c r="F446" s="14"/>
      <x:c r="G446" s="14"/>
      <x:c r="H446" s="14"/>
      <x:c r="I446" s="14"/>
      <x:c r="J446" s="14"/>
      <x:c r="K446" s="14"/>
      <x:c r="L446" s="12"/>
      <x:c r="M446" s="12"/>
      <x:c r="N446" s="15" t="n">
        <x:f>IF(OR(L446="Operating",L446="Investing",L446="Financing"),C446,0)</x:f>
        <x:v>0</x:v>
      </x:c>
      <x:c r="O446" s="12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>
      <x:c r="A447" s="1"/>
      <x:c r="B447" s="1"/>
      <x:c r="C447" s="14"/>
      <x:c r="D447" s="14"/>
      <x:c r="E447" s="14"/>
      <x:c r="F447" s="14"/>
      <x:c r="G447" s="14"/>
      <x:c r="H447" s="14"/>
      <x:c r="I447" s="14"/>
      <x:c r="J447" s="14"/>
      <x:c r="K447" s="14"/>
      <x:c r="L447" s="12"/>
      <x:c r="M447" s="12"/>
      <x:c r="N447" s="15" t="n">
        <x:f>IF(OR(L447="Operating",L447="Investing",L447="Financing"),C447,0)</x:f>
        <x:v>0</x:v>
      </x:c>
      <x:c r="O447" s="12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>
      <x:c r="A448" s="1"/>
      <x:c r="B448" s="1"/>
      <x:c r="C448" s="14"/>
      <x:c r="D448" s="14"/>
      <x:c r="E448" s="14"/>
      <x:c r="F448" s="14"/>
      <x:c r="G448" s="14"/>
      <x:c r="H448" s="14"/>
      <x:c r="I448" s="14"/>
      <x:c r="J448" s="14"/>
      <x:c r="K448" s="14"/>
      <x:c r="L448" s="12"/>
      <x:c r="M448" s="12"/>
      <x:c r="N448" s="15" t="n">
        <x:f>IF(OR(L448="Operating",L448="Investing",L448="Financing"),C448,0)</x:f>
        <x:v>0</x:v>
      </x:c>
      <x:c r="O448" s="12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>
      <x:c r="A449" s="1"/>
      <x:c r="B449" s="1"/>
      <x:c r="C449" s="14"/>
      <x:c r="D449" s="14"/>
      <x:c r="E449" s="14"/>
      <x:c r="F449" s="14"/>
      <x:c r="G449" s="14"/>
      <x:c r="H449" s="14"/>
      <x:c r="I449" s="14"/>
      <x:c r="J449" s="14"/>
      <x:c r="K449" s="14"/>
      <x:c r="L449" s="12"/>
      <x:c r="M449" s="12"/>
      <x:c r="N449" s="15" t="n">
        <x:f>IF(OR(L449="Operating",L449="Investing",L449="Financing"),C449,0)</x:f>
        <x:v>0</x:v>
      </x:c>
      <x:c r="O449" s="12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>
      <x:c r="A450" s="1"/>
      <x:c r="B450" s="1"/>
      <x:c r="C450" s="14"/>
      <x:c r="D450" s="14"/>
      <x:c r="E450" s="14"/>
      <x:c r="F450" s="14"/>
      <x:c r="G450" s="14"/>
      <x:c r="H450" s="14"/>
      <x:c r="I450" s="14"/>
      <x:c r="J450" s="14"/>
      <x:c r="K450" s="14"/>
      <x:c r="L450" s="12"/>
      <x:c r="M450" s="12"/>
      <x:c r="N450" s="15" t="n">
        <x:f>IF(OR(L450="Operating",L450="Investing",L450="Financing"),C450,0)</x:f>
        <x:v>0</x:v>
      </x:c>
      <x:c r="O450" s="12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>
      <x:c r="A451" s="1"/>
      <x:c r="B451" s="1"/>
      <x:c r="C451" s="14"/>
      <x:c r="D451" s="14"/>
      <x:c r="E451" s="14"/>
      <x:c r="F451" s="14"/>
      <x:c r="G451" s="14"/>
      <x:c r="H451" s="14"/>
      <x:c r="I451" s="14"/>
      <x:c r="J451" s="14"/>
      <x:c r="K451" s="14"/>
      <x:c r="L451" s="12"/>
      <x:c r="M451" s="12"/>
      <x:c r="N451" s="15" t="n">
        <x:f>IF(OR(L451="Operating",L451="Investing",L451="Financing"),C451,0)</x:f>
        <x:v>0</x:v>
      </x:c>
      <x:c r="O451" s="12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>
      <x:c r="A452" s="1"/>
      <x:c r="B452" s="1"/>
      <x:c r="C452" s="14"/>
      <x:c r="D452" s="14"/>
      <x:c r="E452" s="14"/>
      <x:c r="F452" s="14"/>
      <x:c r="G452" s="14"/>
      <x:c r="H452" s="14"/>
      <x:c r="I452" s="14"/>
      <x:c r="J452" s="14"/>
      <x:c r="K452" s="14"/>
      <x:c r="L452" s="12"/>
      <x:c r="M452" s="12"/>
      <x:c r="N452" s="15" t="n">
        <x:f>IF(OR(L452="Operating",L452="Investing",L452="Financing"),C452,0)</x:f>
        <x:v>0</x:v>
      </x:c>
      <x:c r="O452" s="12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>
      <x:c r="A453" s="1"/>
      <x:c r="B453" s="1"/>
      <x:c r="C453" s="14"/>
      <x:c r="D453" s="14"/>
      <x:c r="E453" s="14"/>
      <x:c r="F453" s="14"/>
      <x:c r="G453" s="14"/>
      <x:c r="H453" s="14"/>
      <x:c r="I453" s="14"/>
      <x:c r="J453" s="14"/>
      <x:c r="K453" s="14"/>
      <x:c r="L453" s="12"/>
      <x:c r="M453" s="12"/>
      <x:c r="N453" s="15" t="n">
        <x:f>IF(OR(L453="Operating",L453="Investing",L453="Financing"),C453,0)</x:f>
        <x:v>0</x:v>
      </x:c>
      <x:c r="O453" s="12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>
      <x:c r="A454" s="1"/>
      <x:c r="B454" s="1"/>
      <x:c r="C454" s="14"/>
      <x:c r="D454" s="14"/>
      <x:c r="E454" s="14"/>
      <x:c r="F454" s="14"/>
      <x:c r="G454" s="14"/>
      <x:c r="H454" s="14"/>
      <x:c r="I454" s="14"/>
      <x:c r="J454" s="14"/>
      <x:c r="K454" s="14"/>
      <x:c r="L454" s="12"/>
      <x:c r="M454" s="12"/>
      <x:c r="N454" s="15" t="n">
        <x:f>IF(OR(L454="Operating",L454="Investing",L454="Financing"),C454,0)</x:f>
        <x:v>0</x:v>
      </x:c>
      <x:c r="O454" s="12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>
      <x:c r="A455" s="1"/>
      <x:c r="B455" s="1"/>
      <x:c r="C455" s="14"/>
      <x:c r="D455" s="14"/>
      <x:c r="E455" s="14"/>
      <x:c r="F455" s="14"/>
      <x:c r="G455" s="14"/>
      <x:c r="H455" s="14"/>
      <x:c r="I455" s="14"/>
      <x:c r="J455" s="14"/>
      <x:c r="K455" s="14"/>
      <x:c r="L455" s="12"/>
      <x:c r="M455" s="12"/>
      <x:c r="N455" s="15" t="n">
        <x:f>IF(OR(L455="Operating",L455="Investing",L455="Financing"),C455,0)</x:f>
        <x:v>0</x:v>
      </x:c>
      <x:c r="O455" s="12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>
      <x:c r="A456" s="1"/>
      <x:c r="B456" s="1"/>
      <x:c r="C456" s="14"/>
      <x:c r="D456" s="14"/>
      <x:c r="E456" s="14"/>
      <x:c r="F456" s="14"/>
      <x:c r="G456" s="14"/>
      <x:c r="H456" s="14"/>
      <x:c r="I456" s="14"/>
      <x:c r="J456" s="14"/>
      <x:c r="K456" s="14"/>
      <x:c r="L456" s="12"/>
      <x:c r="M456" s="12"/>
      <x:c r="N456" s="15" t="n">
        <x:f>IF(OR(L456="Operating",L456="Investing",L456="Financing"),C456,0)</x:f>
        <x:v>0</x:v>
      </x:c>
      <x:c r="O456" s="12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>
      <x:c r="A457" s="1"/>
      <x:c r="B457" s="1"/>
      <x:c r="C457" s="14"/>
      <x:c r="D457" s="14"/>
      <x:c r="E457" s="14"/>
      <x:c r="F457" s="14"/>
      <x:c r="G457" s="14"/>
      <x:c r="H457" s="14"/>
      <x:c r="I457" s="14"/>
      <x:c r="J457" s="14"/>
      <x:c r="K457" s="14"/>
      <x:c r="L457" s="12"/>
      <x:c r="M457" s="12"/>
      <x:c r="N457" s="15" t="n">
        <x:f>IF(OR(L457="Operating",L457="Investing",L457="Financing"),C457,0)</x:f>
        <x:v>0</x:v>
      </x:c>
      <x:c r="O457" s="12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>
      <x:c r="A458" s="1"/>
      <x:c r="B458" s="1"/>
      <x:c r="C458" s="14"/>
      <x:c r="D458" s="14"/>
      <x:c r="E458" s="14"/>
      <x:c r="F458" s="14"/>
      <x:c r="G458" s="14"/>
      <x:c r="H458" s="14"/>
      <x:c r="I458" s="14"/>
      <x:c r="J458" s="14"/>
      <x:c r="K458" s="14"/>
      <x:c r="L458" s="12"/>
      <x:c r="M458" s="12"/>
      <x:c r="N458" s="15" t="n">
        <x:f>IF(OR(L458="Operating",L458="Investing",L458="Financing"),C458,0)</x:f>
        <x:v>0</x:v>
      </x:c>
      <x:c r="O458" s="12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>
      <x:c r="A459" s="1"/>
      <x:c r="B459" s="1"/>
      <x:c r="C459" s="14"/>
      <x:c r="D459" s="14"/>
      <x:c r="E459" s="14"/>
      <x:c r="F459" s="14"/>
      <x:c r="G459" s="14"/>
      <x:c r="H459" s="14"/>
      <x:c r="I459" s="14"/>
      <x:c r="J459" s="14"/>
      <x:c r="K459" s="14"/>
      <x:c r="L459" s="12"/>
      <x:c r="M459" s="12"/>
      <x:c r="N459" s="15" t="n">
        <x:f>IF(OR(L459="Operating",L459="Investing",L459="Financing"),C459,0)</x:f>
        <x:v>0</x:v>
      </x:c>
      <x:c r="O459" s="12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>
      <x:c r="A460" s="1"/>
      <x:c r="B460" s="1"/>
      <x:c r="C460" s="14"/>
      <x:c r="D460" s="14"/>
      <x:c r="E460" s="14"/>
      <x:c r="F460" s="14"/>
      <x:c r="G460" s="14"/>
      <x:c r="H460" s="14"/>
      <x:c r="I460" s="14"/>
      <x:c r="J460" s="14"/>
      <x:c r="K460" s="14"/>
      <x:c r="L460" s="12"/>
      <x:c r="M460" s="12"/>
      <x:c r="N460" s="15" t="n">
        <x:f>IF(OR(L460="Operating",L460="Investing",L460="Financing"),C460,0)</x:f>
        <x:v>0</x:v>
      </x:c>
      <x:c r="O460" s="12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>
      <x:c r="A461" s="1"/>
      <x:c r="B461" s="1"/>
      <x:c r="C461" s="14"/>
      <x:c r="D461" s="14"/>
      <x:c r="E461" s="14"/>
      <x:c r="F461" s="14"/>
      <x:c r="G461" s="14"/>
      <x:c r="H461" s="14"/>
      <x:c r="I461" s="14"/>
      <x:c r="J461" s="14"/>
      <x:c r="K461" s="14"/>
      <x:c r="L461" s="12"/>
      <x:c r="M461" s="12"/>
      <x:c r="N461" s="15" t="n">
        <x:f>IF(OR(L461="Operating",L461="Investing",L461="Financing"),C461,0)</x:f>
        <x:v>0</x:v>
      </x:c>
      <x:c r="O461" s="12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>
      <x:c r="A462" s="1"/>
      <x:c r="B462" s="1"/>
      <x:c r="C462" s="14"/>
      <x:c r="D462" s="14"/>
      <x:c r="E462" s="14"/>
      <x:c r="F462" s="14"/>
      <x:c r="G462" s="14"/>
      <x:c r="H462" s="14"/>
      <x:c r="I462" s="14"/>
      <x:c r="J462" s="14"/>
      <x:c r="K462" s="14"/>
      <x:c r="L462" s="12"/>
      <x:c r="M462" s="12"/>
      <x:c r="N462" s="15" t="n">
        <x:f>IF(OR(L462="Operating",L462="Investing",L462="Financing"),C462,0)</x:f>
        <x:v>0</x:v>
      </x:c>
      <x:c r="O462" s="12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>
      <x:c r="A463" s="1"/>
      <x:c r="B463" s="1"/>
      <x:c r="C463" s="14"/>
      <x:c r="D463" s="14"/>
      <x:c r="E463" s="14"/>
      <x:c r="F463" s="14"/>
      <x:c r="G463" s="14"/>
      <x:c r="H463" s="14"/>
      <x:c r="I463" s="14"/>
      <x:c r="J463" s="14"/>
      <x:c r="K463" s="14"/>
      <x:c r="L463" s="12"/>
      <x:c r="M463" s="12"/>
      <x:c r="N463" s="15" t="n">
        <x:f>IF(OR(L463="Operating",L463="Investing",L463="Financing"),C463,0)</x:f>
        <x:v>0</x:v>
      </x:c>
      <x:c r="O463" s="12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>
      <x:c r="A464" s="1"/>
      <x:c r="B464" s="1"/>
      <x:c r="C464" s="14"/>
      <x:c r="D464" s="14"/>
      <x:c r="E464" s="14"/>
      <x:c r="F464" s="14"/>
      <x:c r="G464" s="14"/>
      <x:c r="H464" s="14"/>
      <x:c r="I464" s="14"/>
      <x:c r="J464" s="14"/>
      <x:c r="K464" s="14"/>
      <x:c r="L464" s="12"/>
      <x:c r="M464" s="12"/>
      <x:c r="N464" s="15" t="n">
        <x:f>IF(OR(L464="Operating",L464="Investing",L464="Financing"),C464,0)</x:f>
        <x:v>0</x:v>
      </x:c>
      <x:c r="O464" s="12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>
      <x:c r="A465" s="1"/>
      <x:c r="B465" s="1"/>
      <x:c r="C465" s="14"/>
      <x:c r="D465" s="14"/>
      <x:c r="E465" s="14"/>
      <x:c r="F465" s="14"/>
      <x:c r="G465" s="14"/>
      <x:c r="H465" s="14"/>
      <x:c r="I465" s="14"/>
      <x:c r="J465" s="14"/>
      <x:c r="K465" s="14"/>
      <x:c r="L465" s="12"/>
      <x:c r="M465" s="12"/>
      <x:c r="N465" s="15" t="n">
        <x:f>IF(OR(L465="Operating",L465="Investing",L465="Financing"),C465,0)</x:f>
        <x:v>0</x:v>
      </x:c>
      <x:c r="O465" s="12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>
      <x:c r="A466" s="1"/>
      <x:c r="B466" s="1"/>
      <x:c r="C466" s="14"/>
      <x:c r="D466" s="14"/>
      <x:c r="E466" s="14"/>
      <x:c r="F466" s="14"/>
      <x:c r="G466" s="14"/>
      <x:c r="H466" s="14"/>
      <x:c r="I466" s="14"/>
      <x:c r="J466" s="14"/>
      <x:c r="K466" s="14"/>
      <x:c r="L466" s="12"/>
      <x:c r="M466" s="12"/>
      <x:c r="N466" s="15" t="n">
        <x:f>IF(OR(L466="Operating",L466="Investing",L466="Financing"),C466,0)</x:f>
        <x:v>0</x:v>
      </x:c>
      <x:c r="O466" s="12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>
      <x:c r="A467" s="1"/>
      <x:c r="B467" s="1"/>
      <x:c r="C467" s="14"/>
      <x:c r="D467" s="14"/>
      <x:c r="E467" s="14"/>
      <x:c r="F467" s="14"/>
      <x:c r="G467" s="14"/>
      <x:c r="H467" s="14"/>
      <x:c r="I467" s="14"/>
      <x:c r="J467" s="14"/>
      <x:c r="K467" s="14"/>
      <x:c r="L467" s="12"/>
      <x:c r="M467" s="12"/>
      <x:c r="N467" s="15" t="n">
        <x:f>IF(OR(L467="Operating",L467="Investing",L467="Financing"),C467,0)</x:f>
        <x:v>0</x:v>
      </x:c>
      <x:c r="O467" s="12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>
      <x:c r="A468" s="1"/>
      <x:c r="B468" s="1"/>
      <x:c r="C468" s="14"/>
      <x:c r="D468" s="14"/>
      <x:c r="E468" s="14"/>
      <x:c r="F468" s="14"/>
      <x:c r="G468" s="14"/>
      <x:c r="H468" s="14"/>
      <x:c r="I468" s="14"/>
      <x:c r="J468" s="14"/>
      <x:c r="K468" s="14"/>
      <x:c r="L468" s="12"/>
      <x:c r="M468" s="12"/>
      <x:c r="N468" s="15" t="n">
        <x:f>IF(OR(L468="Operating",L468="Investing",L468="Financing"),C468,0)</x:f>
        <x:v>0</x:v>
      </x:c>
      <x:c r="O468" s="12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>
      <x:c r="A469" s="1"/>
      <x:c r="B469" s="1"/>
      <x:c r="C469" s="14"/>
      <x:c r="D469" s="14"/>
      <x:c r="E469" s="14"/>
      <x:c r="F469" s="14"/>
      <x:c r="G469" s="14"/>
      <x:c r="H469" s="14"/>
      <x:c r="I469" s="14"/>
      <x:c r="J469" s="14"/>
      <x:c r="K469" s="14"/>
      <x:c r="L469" s="12"/>
      <x:c r="M469" s="12"/>
      <x:c r="N469" s="15" t="n">
        <x:f>IF(OR(L469="Operating",L469="Investing",L469="Financing"),C469,0)</x:f>
        <x:v>0</x:v>
      </x:c>
      <x:c r="O469" s="12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>
      <x:c r="A470" s="1"/>
      <x:c r="B470" s="1"/>
      <x:c r="C470" s="14"/>
      <x:c r="D470" s="14"/>
      <x:c r="E470" s="14"/>
      <x:c r="F470" s="14"/>
      <x:c r="G470" s="14"/>
      <x:c r="H470" s="14"/>
      <x:c r="I470" s="14"/>
      <x:c r="J470" s="14"/>
      <x:c r="K470" s="14"/>
      <x:c r="L470" s="12"/>
      <x:c r="M470" s="12"/>
      <x:c r="N470" s="15" t="n">
        <x:f>IF(OR(L470="Operating",L470="Investing",L470="Financing"),C470,0)</x:f>
        <x:v>0</x:v>
      </x:c>
      <x:c r="O470" s="12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>
      <x:c r="A471" s="1"/>
      <x:c r="B471" s="1"/>
      <x:c r="C471" s="14"/>
      <x:c r="D471" s="14"/>
      <x:c r="E471" s="14"/>
      <x:c r="F471" s="14"/>
      <x:c r="G471" s="14"/>
      <x:c r="H471" s="14"/>
      <x:c r="I471" s="14"/>
      <x:c r="J471" s="14"/>
      <x:c r="K471" s="14"/>
      <x:c r="L471" s="12"/>
      <x:c r="M471" s="12"/>
      <x:c r="N471" s="15" t="n">
        <x:f>IF(OR(L471="Operating",L471="Investing",L471="Financing"),C471,0)</x:f>
        <x:v>0</x:v>
      </x:c>
      <x:c r="O471" s="12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>
      <x:c r="A472" s="1"/>
      <x:c r="B472" s="1"/>
      <x:c r="C472" s="14"/>
      <x:c r="D472" s="14"/>
      <x:c r="E472" s="14"/>
      <x:c r="F472" s="14"/>
      <x:c r="G472" s="14"/>
      <x:c r="H472" s="14"/>
      <x:c r="I472" s="14"/>
      <x:c r="J472" s="14"/>
      <x:c r="K472" s="14"/>
      <x:c r="L472" s="12"/>
      <x:c r="M472" s="12"/>
      <x:c r="N472" s="15" t="n">
        <x:f>IF(OR(L472="Operating",L472="Investing",L472="Financing"),C472,0)</x:f>
        <x:v>0</x:v>
      </x:c>
      <x:c r="O472" s="12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>
      <x:c r="A473" s="1"/>
      <x:c r="B473" s="1"/>
      <x:c r="C473" s="14"/>
      <x:c r="D473" s="14"/>
      <x:c r="E473" s="14"/>
      <x:c r="F473" s="14"/>
      <x:c r="G473" s="14"/>
      <x:c r="H473" s="14"/>
      <x:c r="I473" s="14"/>
      <x:c r="J473" s="14"/>
      <x:c r="K473" s="14"/>
      <x:c r="L473" s="12"/>
      <x:c r="M473" s="12"/>
      <x:c r="N473" s="15" t="n">
        <x:f>IF(OR(L473="Operating",L473="Investing",L473="Financing"),C473,0)</x:f>
        <x:v>0</x:v>
      </x:c>
      <x:c r="O473" s="12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>
      <x:c r="A474" s="1"/>
      <x:c r="B474" s="1"/>
      <x:c r="C474" s="14"/>
      <x:c r="D474" s="14"/>
      <x:c r="E474" s="14"/>
      <x:c r="F474" s="14"/>
      <x:c r="G474" s="14"/>
      <x:c r="H474" s="14"/>
      <x:c r="I474" s="14"/>
      <x:c r="J474" s="14"/>
      <x:c r="K474" s="14"/>
      <x:c r="L474" s="12"/>
      <x:c r="M474" s="12"/>
      <x:c r="N474" s="15" t="n">
        <x:f>IF(OR(L474="Operating",L474="Investing",L474="Financing"),C474,0)</x:f>
        <x:v>0</x:v>
      </x:c>
      <x:c r="O474" s="12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>
      <x:c r="A475" s="1"/>
      <x:c r="B475" s="1"/>
      <x:c r="C475" s="14"/>
      <x:c r="D475" s="14"/>
      <x:c r="E475" s="14"/>
      <x:c r="F475" s="14"/>
      <x:c r="G475" s="14"/>
      <x:c r="H475" s="14"/>
      <x:c r="I475" s="14"/>
      <x:c r="J475" s="14"/>
      <x:c r="K475" s="14"/>
      <x:c r="L475" s="12"/>
      <x:c r="M475" s="12"/>
      <x:c r="N475" s="15" t="n">
        <x:f>IF(OR(L475="Operating",L475="Investing",L475="Financing"),C475,0)</x:f>
        <x:v>0</x:v>
      </x:c>
      <x:c r="O475" s="12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>
      <x:c r="A476" s="1"/>
      <x:c r="B476" s="1"/>
      <x:c r="C476" s="14"/>
      <x:c r="D476" s="14"/>
      <x:c r="E476" s="14"/>
      <x:c r="F476" s="14"/>
      <x:c r="G476" s="14"/>
      <x:c r="H476" s="14"/>
      <x:c r="I476" s="14"/>
      <x:c r="J476" s="14"/>
      <x:c r="K476" s="14"/>
      <x:c r="L476" s="12"/>
      <x:c r="M476" s="12"/>
      <x:c r="N476" s="15" t="n">
        <x:f>IF(OR(L476="Operating",L476="Investing",L476="Financing"),C476,0)</x:f>
        <x:v>0</x:v>
      </x:c>
      <x:c r="O476" s="12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>
      <x:c r="A477" s="1"/>
      <x:c r="B477" s="1"/>
      <x:c r="C477" s="14"/>
      <x:c r="D477" s="14"/>
      <x:c r="E477" s="14"/>
      <x:c r="F477" s="14"/>
      <x:c r="G477" s="14"/>
      <x:c r="H477" s="14"/>
      <x:c r="I477" s="14"/>
      <x:c r="J477" s="14"/>
      <x:c r="K477" s="14"/>
      <x:c r="L477" s="12"/>
      <x:c r="M477" s="12"/>
      <x:c r="N477" s="15" t="n">
        <x:f>IF(OR(L477="Operating",L477="Investing",L477="Financing"),C477,0)</x:f>
        <x:v>0</x:v>
      </x:c>
      <x:c r="O477" s="12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>
      <x:c r="A478" s="1"/>
      <x:c r="B478" s="1"/>
      <x:c r="C478" s="14"/>
      <x:c r="D478" s="14"/>
      <x:c r="E478" s="14"/>
      <x:c r="F478" s="14"/>
      <x:c r="G478" s="14"/>
      <x:c r="H478" s="14"/>
      <x:c r="I478" s="14"/>
      <x:c r="J478" s="14"/>
      <x:c r="K478" s="14"/>
      <x:c r="L478" s="12"/>
      <x:c r="M478" s="12"/>
      <x:c r="N478" s="15" t="n">
        <x:f>IF(OR(L478="Operating",L478="Investing",L478="Financing"),C478,0)</x:f>
        <x:v>0</x:v>
      </x:c>
      <x:c r="O478" s="12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>
      <x:c r="A479" s="1"/>
      <x:c r="B479" s="1"/>
      <x:c r="C479" s="14"/>
      <x:c r="D479" s="14"/>
      <x:c r="E479" s="14"/>
      <x:c r="F479" s="14"/>
      <x:c r="G479" s="14"/>
      <x:c r="H479" s="14"/>
      <x:c r="I479" s="14"/>
      <x:c r="J479" s="14"/>
      <x:c r="K479" s="14"/>
      <x:c r="L479" s="12"/>
      <x:c r="M479" s="12"/>
      <x:c r="N479" s="15" t="n">
        <x:f>IF(OR(L479="Operating",L479="Investing",L479="Financing"),C479,0)</x:f>
        <x:v>0</x:v>
      </x:c>
      <x:c r="O479" s="12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>
      <x:c r="A480" s="1"/>
      <x:c r="B480" s="1"/>
      <x:c r="C480" s="14"/>
      <x:c r="D480" s="14"/>
      <x:c r="E480" s="14"/>
      <x:c r="F480" s="14"/>
      <x:c r="G480" s="14"/>
      <x:c r="H480" s="14"/>
      <x:c r="I480" s="14"/>
      <x:c r="J480" s="14"/>
      <x:c r="K480" s="14"/>
      <x:c r="L480" s="12"/>
      <x:c r="M480" s="12"/>
      <x:c r="N480" s="15" t="n">
        <x:f>IF(OR(L480="Operating",L480="Investing",L480="Financing"),C480,0)</x:f>
        <x:v>0</x:v>
      </x:c>
      <x:c r="O480" s="12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>
      <x:c r="A481" s="1"/>
      <x:c r="B481" s="1"/>
      <x:c r="C481" s="14"/>
      <x:c r="D481" s="14"/>
      <x:c r="E481" s="14"/>
      <x:c r="F481" s="14"/>
      <x:c r="G481" s="14"/>
      <x:c r="H481" s="14"/>
      <x:c r="I481" s="14"/>
      <x:c r="J481" s="14"/>
      <x:c r="K481" s="14"/>
      <x:c r="L481" s="12"/>
      <x:c r="M481" s="12"/>
      <x:c r="N481" s="15" t="n">
        <x:f>IF(OR(L481="Operating",L481="Investing",L481="Financing"),C481,0)</x:f>
        <x:v>0</x:v>
      </x:c>
      <x:c r="O481" s="12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>
      <x:c r="A482" s="1"/>
      <x:c r="B482" s="1"/>
      <x:c r="C482" s="14"/>
      <x:c r="D482" s="14"/>
      <x:c r="E482" s="14"/>
      <x:c r="F482" s="14"/>
      <x:c r="G482" s="14"/>
      <x:c r="H482" s="14"/>
      <x:c r="I482" s="14"/>
      <x:c r="J482" s="14"/>
      <x:c r="K482" s="14"/>
      <x:c r="L482" s="12"/>
      <x:c r="M482" s="12"/>
      <x:c r="N482" s="15" t="n">
        <x:f>IF(OR(L482="Operating",L482="Investing",L482="Financing"),C482,0)</x:f>
        <x:v>0</x:v>
      </x:c>
      <x:c r="O482" s="12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>
      <x:c r="A483" s="1"/>
      <x:c r="B483" s="1"/>
      <x:c r="C483" s="14"/>
      <x:c r="D483" s="14"/>
      <x:c r="E483" s="14"/>
      <x:c r="F483" s="14"/>
      <x:c r="G483" s="14"/>
      <x:c r="H483" s="14"/>
      <x:c r="I483" s="14"/>
      <x:c r="J483" s="14"/>
      <x:c r="K483" s="14"/>
      <x:c r="L483" s="12"/>
      <x:c r="M483" s="12"/>
      <x:c r="N483" s="15" t="n">
        <x:f>IF(OR(L483="Operating",L483="Investing",L483="Financing"),C483,0)</x:f>
        <x:v>0</x:v>
      </x:c>
      <x:c r="O483" s="12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>
      <x:c r="A484" s="1"/>
      <x:c r="B484" s="1"/>
      <x:c r="C484" s="14"/>
      <x:c r="D484" s="14"/>
      <x:c r="E484" s="14"/>
      <x:c r="F484" s="14"/>
      <x:c r="G484" s="14"/>
      <x:c r="H484" s="14"/>
      <x:c r="I484" s="14"/>
      <x:c r="J484" s="14"/>
      <x:c r="K484" s="14"/>
      <x:c r="L484" s="12"/>
      <x:c r="M484" s="12"/>
      <x:c r="N484" s="15" t="n">
        <x:f>IF(OR(L484="Operating",L484="Investing",L484="Financing"),C484,0)</x:f>
        <x:v>0</x:v>
      </x:c>
      <x:c r="O484" s="12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>
      <x:c r="A485" s="1"/>
      <x:c r="B485" s="1"/>
      <x:c r="C485" s="14"/>
      <x:c r="D485" s="14"/>
      <x:c r="E485" s="14"/>
      <x:c r="F485" s="14"/>
      <x:c r="G485" s="14"/>
      <x:c r="H485" s="14"/>
      <x:c r="I485" s="14"/>
      <x:c r="J485" s="14"/>
      <x:c r="K485" s="14"/>
      <x:c r="L485" s="12"/>
      <x:c r="M485" s="12"/>
      <x:c r="N485" s="15" t="n">
        <x:f>IF(OR(L485="Operating",L485="Investing",L485="Financing"),C485,0)</x:f>
        <x:v>0</x:v>
      </x:c>
      <x:c r="O485" s="12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>
      <x:c r="A486" s="1"/>
      <x:c r="B486" s="1"/>
      <x:c r="C486" s="14"/>
      <x:c r="D486" s="14"/>
      <x:c r="E486" s="14"/>
      <x:c r="F486" s="14"/>
      <x:c r="G486" s="14"/>
      <x:c r="H486" s="14"/>
      <x:c r="I486" s="14"/>
      <x:c r="J486" s="14"/>
      <x:c r="K486" s="14"/>
      <x:c r="L486" s="12"/>
      <x:c r="M486" s="12"/>
      <x:c r="N486" s="15" t="n">
        <x:f>IF(OR(L486="Operating",L486="Investing",L486="Financing"),C486,0)</x:f>
        <x:v>0</x:v>
      </x:c>
      <x:c r="O486" s="12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>
      <x:c r="A487" s="1"/>
      <x:c r="B487" s="1"/>
      <x:c r="C487" s="14"/>
      <x:c r="D487" s="14"/>
      <x:c r="E487" s="14"/>
      <x:c r="F487" s="14"/>
      <x:c r="G487" s="14"/>
      <x:c r="H487" s="14"/>
      <x:c r="I487" s="14"/>
      <x:c r="J487" s="14"/>
      <x:c r="K487" s="14"/>
      <x:c r="L487" s="12"/>
      <x:c r="M487" s="12"/>
      <x:c r="N487" s="15" t="n">
        <x:f>IF(OR(L487="Operating",L487="Investing",L487="Financing"),C487,0)</x:f>
        <x:v>0</x:v>
      </x:c>
      <x:c r="O487" s="12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>
      <x:c r="A488" s="1"/>
      <x:c r="B488" s="1"/>
      <x:c r="C488" s="14"/>
      <x:c r="D488" s="14"/>
      <x:c r="E488" s="14"/>
      <x:c r="F488" s="14"/>
      <x:c r="G488" s="14"/>
      <x:c r="H488" s="14"/>
      <x:c r="I488" s="14"/>
      <x:c r="J488" s="14"/>
      <x:c r="K488" s="14"/>
      <x:c r="L488" s="12"/>
      <x:c r="M488" s="12"/>
      <x:c r="N488" s="15" t="n">
        <x:f>IF(OR(L488="Operating",L488="Investing",L488="Financing"),C488,0)</x:f>
        <x:v>0</x:v>
      </x:c>
      <x:c r="O488" s="12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>
      <x:c r="A489" s="1"/>
      <x:c r="B489" s="1"/>
      <x:c r="C489" s="14"/>
      <x:c r="D489" s="14"/>
      <x:c r="E489" s="14"/>
      <x:c r="F489" s="14"/>
      <x:c r="G489" s="14"/>
      <x:c r="H489" s="14"/>
      <x:c r="I489" s="14"/>
      <x:c r="J489" s="14"/>
      <x:c r="K489" s="14"/>
      <x:c r="L489" s="12"/>
      <x:c r="M489" s="12"/>
      <x:c r="N489" s="15" t="n">
        <x:f>IF(OR(L489="Operating",L489="Investing",L489="Financing"),C489,0)</x:f>
        <x:v>0</x:v>
      </x:c>
      <x:c r="O489" s="12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>
      <x:c r="A490" s="1"/>
      <x:c r="B490" s="1"/>
      <x:c r="C490" s="14"/>
      <x:c r="D490" s="14"/>
      <x:c r="E490" s="14"/>
      <x:c r="F490" s="14"/>
      <x:c r="G490" s="14"/>
      <x:c r="H490" s="14"/>
      <x:c r="I490" s="14"/>
      <x:c r="J490" s="14"/>
      <x:c r="K490" s="14"/>
      <x:c r="L490" s="12"/>
      <x:c r="M490" s="12"/>
      <x:c r="N490" s="15" t="n">
        <x:f>IF(OR(L490="Operating",L490="Investing",L490="Financing"),C490,0)</x:f>
        <x:v>0</x:v>
      </x:c>
      <x:c r="O490" s="12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>
      <x:c r="A491" s="1"/>
      <x:c r="B491" s="1"/>
      <x:c r="C491" s="14"/>
      <x:c r="D491" s="14"/>
      <x:c r="E491" s="14"/>
      <x:c r="F491" s="14"/>
      <x:c r="G491" s="14"/>
      <x:c r="H491" s="14"/>
      <x:c r="I491" s="14"/>
      <x:c r="J491" s="14"/>
      <x:c r="K491" s="14"/>
      <x:c r="L491" s="12"/>
      <x:c r="M491" s="12"/>
      <x:c r="N491" s="15" t="n">
        <x:f>IF(OR(L491="Operating",L491="Investing",L491="Financing"),C491,0)</x:f>
        <x:v>0</x:v>
      </x:c>
      <x:c r="O491" s="12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>
      <x:c r="A492" s="1"/>
      <x:c r="B492" s="1"/>
      <x:c r="C492" s="14"/>
      <x:c r="D492" s="14"/>
      <x:c r="E492" s="14"/>
      <x:c r="F492" s="14"/>
      <x:c r="G492" s="14"/>
      <x:c r="H492" s="14"/>
      <x:c r="I492" s="14"/>
      <x:c r="J492" s="14"/>
      <x:c r="K492" s="14"/>
      <x:c r="L492" s="12"/>
      <x:c r="M492" s="12"/>
      <x:c r="N492" s="15" t="n">
        <x:f>IF(OR(L492="Operating",L492="Investing",L492="Financing"),C492,0)</x:f>
        <x:v>0</x:v>
      </x:c>
      <x:c r="O492" s="12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>
      <x:c r="A493" s="1"/>
      <x:c r="B493" s="1"/>
      <x:c r="C493" s="14"/>
      <x:c r="D493" s="14"/>
      <x:c r="E493" s="14"/>
      <x:c r="F493" s="14"/>
      <x:c r="G493" s="14"/>
      <x:c r="H493" s="14"/>
      <x:c r="I493" s="14"/>
      <x:c r="J493" s="14"/>
      <x:c r="K493" s="14"/>
      <x:c r="L493" s="12"/>
      <x:c r="M493" s="12"/>
      <x:c r="N493" s="15" t="n">
        <x:f>IF(OR(L493="Operating",L493="Investing",L493="Financing"),C493,0)</x:f>
        <x:v>0</x:v>
      </x:c>
      <x:c r="O493" s="12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>
      <x:c r="A494" s="1"/>
      <x:c r="B494" s="1"/>
      <x:c r="C494" s="14"/>
      <x:c r="D494" s="14"/>
      <x:c r="E494" s="14"/>
      <x:c r="F494" s="14"/>
      <x:c r="G494" s="14"/>
      <x:c r="H494" s="14"/>
      <x:c r="I494" s="14"/>
      <x:c r="J494" s="14"/>
      <x:c r="K494" s="14"/>
      <x:c r="L494" s="12"/>
      <x:c r="M494" s="12"/>
      <x:c r="N494" s="15" t="n">
        <x:f>IF(OR(L494="Operating",L494="Investing",L494="Financing"),C494,0)</x:f>
        <x:v>0</x:v>
      </x:c>
      <x:c r="O494" s="12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>
      <x:c r="A495" s="1"/>
      <x:c r="B495" s="1"/>
      <x:c r="C495" s="14"/>
      <x:c r="D495" s="14"/>
      <x:c r="E495" s="14"/>
      <x:c r="F495" s="14"/>
      <x:c r="G495" s="14"/>
      <x:c r="H495" s="14"/>
      <x:c r="I495" s="14"/>
      <x:c r="J495" s="14"/>
      <x:c r="K495" s="14"/>
      <x:c r="L495" s="12"/>
      <x:c r="M495" s="12"/>
      <x:c r="N495" s="15" t="n">
        <x:f>IF(OR(L495="Operating",L495="Investing",L495="Financing"),C495,0)</x:f>
        <x:v>0</x:v>
      </x:c>
      <x:c r="O495" s="12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>
      <x:c r="A496" s="1"/>
      <x:c r="B496" s="1"/>
      <x:c r="C496" s="14"/>
      <x:c r="D496" s="14"/>
      <x:c r="E496" s="14"/>
      <x:c r="F496" s="14"/>
      <x:c r="G496" s="14"/>
      <x:c r="H496" s="14"/>
      <x:c r="I496" s="14"/>
      <x:c r="J496" s="14"/>
      <x:c r="K496" s="14"/>
      <x:c r="L496" s="12"/>
      <x:c r="M496" s="12"/>
      <x:c r="N496" s="15" t="n">
        <x:f>IF(OR(L496="Operating",L496="Investing",L496="Financing"),C496,0)</x:f>
        <x:v>0</x:v>
      </x:c>
      <x:c r="O496" s="12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>
      <x:c r="A497" s="1"/>
      <x:c r="B497" s="1"/>
      <x:c r="C497" s="14"/>
      <x:c r="D497" s="14"/>
      <x:c r="E497" s="14"/>
      <x:c r="F497" s="14"/>
      <x:c r="G497" s="14"/>
      <x:c r="H497" s="14"/>
      <x:c r="I497" s="14"/>
      <x:c r="J497" s="14"/>
      <x:c r="K497" s="14"/>
      <x:c r="L497" s="12"/>
      <x:c r="M497" s="12"/>
      <x:c r="N497" s="15" t="n">
        <x:f>IF(OR(L497="Operating",L497="Investing",L497="Financing"),C497,0)</x:f>
        <x:v>0</x:v>
      </x:c>
      <x:c r="O497" s="12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>
      <x:c r="A498" s="1"/>
      <x:c r="B498" s="1"/>
      <x:c r="C498" s="14"/>
      <x:c r="D498" s="14"/>
      <x:c r="E498" s="14"/>
      <x:c r="F498" s="14"/>
      <x:c r="G498" s="14"/>
      <x:c r="H498" s="14"/>
      <x:c r="I498" s="14"/>
      <x:c r="J498" s="14"/>
      <x:c r="K498" s="14"/>
      <x:c r="L498" s="12"/>
      <x:c r="M498" s="12"/>
      <x:c r="N498" s="15" t="n">
        <x:f>IF(OR(L498="Operating",L498="Investing",L498="Financing"),C498,0)</x:f>
        <x:v>0</x:v>
      </x:c>
      <x:c r="O498" s="12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>
      <x:c r="A499" s="1"/>
      <x:c r="B499" s="1"/>
      <x:c r="C499" s="14"/>
      <x:c r="D499" s="14"/>
      <x:c r="E499" s="14"/>
      <x:c r="F499" s="14"/>
      <x:c r="G499" s="14"/>
      <x:c r="H499" s="14"/>
      <x:c r="I499" s="14"/>
      <x:c r="J499" s="14"/>
      <x:c r="K499" s="14"/>
      <x:c r="L499" s="12"/>
      <x:c r="M499" s="12"/>
      <x:c r="N499" s="15" t="n">
        <x:f>IF(OR(L499="Operating",L499="Investing",L499="Financing"),C499,0)</x:f>
        <x:v>0</x:v>
      </x:c>
      <x:c r="O499" s="12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>
      <x:c r="A500" s="1"/>
      <x:c r="B500" s="1"/>
      <x:c r="C500" s="14"/>
      <x:c r="D500" s="14"/>
      <x:c r="E500" s="14"/>
      <x:c r="F500" s="14"/>
      <x:c r="G500" s="14"/>
      <x:c r="H500" s="14"/>
      <x:c r="I500" s="14"/>
      <x:c r="J500" s="14"/>
      <x:c r="K500" s="14"/>
      <x:c r="L500" s="12"/>
      <x:c r="M500" s="12"/>
      <x:c r="N500" s="15" t="n">
        <x:f>IF(OR(L500="Operating",L500="Investing",L500="Financing"),C500,0)</x:f>
        <x:v>0</x:v>
      </x:c>
      <x:c r="O500" s="12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>
      <x:c r="A501" s="1"/>
      <x:c r="B501" s="1"/>
      <x:c r="C501" s="14"/>
      <x:c r="D501" s="14"/>
      <x:c r="E501" s="14"/>
      <x:c r="F501" s="14"/>
      <x:c r="G501" s="14"/>
      <x:c r="H501" s="14"/>
      <x:c r="I501" s="14"/>
      <x:c r="J501" s="14"/>
      <x:c r="K501" s="14"/>
      <x:c r="L501" s="12"/>
      <x:c r="M501" s="12"/>
      <x:c r="N501" s="15" t="n">
        <x:f>IF(OR(L501="Operating",L501="Investing",L501="Financing"),C501,0)</x:f>
        <x:v>0</x:v>
      </x:c>
      <x:c r="O501" s="12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>
      <x:c r="A502" s="1"/>
      <x:c r="B502" s="1"/>
      <x:c r="C502" s="14"/>
      <x:c r="D502" s="14"/>
      <x:c r="E502" s="14"/>
      <x:c r="F502" s="14"/>
      <x:c r="G502" s="14"/>
      <x:c r="H502" s="14"/>
      <x:c r="I502" s="14"/>
      <x:c r="J502" s="14"/>
      <x:c r="K502" s="14"/>
      <x:c r="L502" s="12"/>
      <x:c r="M502" s="12"/>
      <x:c r="N502" s="15" t="n">
        <x:f>IF(OR(L502="Operating",L502="Investing",L502="Financing"),C502,0)</x:f>
        <x:v>0</x:v>
      </x:c>
      <x:c r="O502" s="12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>
      <x:c r="A503" s="1"/>
      <x:c r="B503" s="1"/>
      <x:c r="C503" s="14"/>
      <x:c r="D503" s="14"/>
      <x:c r="E503" s="14"/>
      <x:c r="F503" s="14"/>
      <x:c r="G503" s="14"/>
      <x:c r="H503" s="14"/>
      <x:c r="I503" s="14"/>
      <x:c r="J503" s="14"/>
      <x:c r="K503" s="14"/>
      <x:c r="L503" s="12"/>
      <x:c r="M503" s="12"/>
      <x:c r="N503" s="15" t="n">
        <x:f>IF(OR(L503="Operating",L503="Investing",L503="Financing"),C503,0)</x:f>
        <x:v>0</x:v>
      </x:c>
      <x:c r="O503" s="12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>
      <x:c r="A504" s="1"/>
      <x:c r="B504" s="1"/>
      <x:c r="C504" s="14"/>
      <x:c r="D504" s="14"/>
      <x:c r="E504" s="14"/>
      <x:c r="F504" s="14"/>
      <x:c r="G504" s="14"/>
      <x:c r="H504" s="14"/>
      <x:c r="I504" s="14"/>
      <x:c r="J504" s="14"/>
      <x:c r="K504" s="14"/>
      <x:c r="L504" s="12"/>
      <x:c r="M504" s="12"/>
      <x:c r="N504" s="15" t="n">
        <x:f>IF(OR(L504="Operating",L504="Investing",L504="Financing"),C504,0)</x:f>
        <x:v>0</x:v>
      </x:c>
      <x:c r="O504" s="12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>
      <x:c r="A505" s="1"/>
      <x:c r="B505" s="1"/>
      <x:c r="C505" s="14"/>
      <x:c r="D505" s="14"/>
      <x:c r="E505" s="14"/>
      <x:c r="F505" s="14"/>
      <x:c r="G505" s="14"/>
      <x:c r="H505" s="14"/>
      <x:c r="I505" s="14"/>
      <x:c r="J505" s="14"/>
      <x:c r="K505" s="14"/>
      <x:c r="L505" s="12"/>
      <x:c r="M505" s="12"/>
      <x:c r="N505" s="15" t="n">
        <x:f>IF(OR(L505="Operating",L505="Investing",L505="Financing"),C505,0)</x:f>
        <x:v>0</x:v>
      </x:c>
      <x:c r="O505" s="12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>
      <x:c r="A506" s="1"/>
      <x:c r="B506" s="1"/>
      <x:c r="C506" s="14"/>
      <x:c r="D506" s="14"/>
      <x:c r="E506" s="14"/>
      <x:c r="F506" s="14"/>
      <x:c r="G506" s="14"/>
      <x:c r="H506" s="14"/>
      <x:c r="I506" s="14"/>
      <x:c r="J506" s="14"/>
      <x:c r="K506" s="14"/>
      <x:c r="L506" s="12"/>
      <x:c r="M506" s="12"/>
      <x:c r="N506" s="15" t="n">
        <x:f>IF(OR(L506="Operating",L506="Investing",L506="Financing"),C506,0)</x:f>
        <x:v>0</x:v>
      </x:c>
      <x:c r="O506" s="12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>
      <x:c r="A507" s="1"/>
      <x:c r="B507" s="1"/>
      <x:c r="C507" s="14"/>
      <x:c r="D507" s="14"/>
      <x:c r="E507" s="14"/>
      <x:c r="F507" s="14"/>
      <x:c r="G507" s="14"/>
      <x:c r="H507" s="14"/>
      <x:c r="I507" s="14"/>
      <x:c r="J507" s="14"/>
      <x:c r="K507" s="14"/>
      <x:c r="L507" s="12"/>
      <x:c r="M507" s="12"/>
      <x:c r="N507" s="15" t="n">
        <x:f>IF(OR(L507="Operating",L507="Investing",L507="Financing"),C507,0)</x:f>
        <x:v>0</x:v>
      </x:c>
      <x:c r="O507" s="12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>
      <x:c r="A508" s="1"/>
      <x:c r="B508" s="1"/>
      <x:c r="C508" s="14"/>
      <x:c r="D508" s="14"/>
      <x:c r="E508" s="14"/>
      <x:c r="F508" s="14"/>
      <x:c r="G508" s="14"/>
      <x:c r="H508" s="14"/>
      <x:c r="I508" s="14"/>
      <x:c r="J508" s="14"/>
      <x:c r="K508" s="14"/>
      <x:c r="L508" s="12"/>
      <x:c r="M508" s="12"/>
      <x:c r="N508" s="15" t="n">
        <x:f>IF(OR(L508="Operating",L508="Investing",L508="Financing"),C508,0)</x:f>
        <x:v>0</x:v>
      </x:c>
      <x:c r="O508" s="12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>
      <x:c r="A509" s="1"/>
      <x:c r="B509" s="1"/>
      <x:c r="C509" s="14"/>
      <x:c r="D509" s="14"/>
      <x:c r="E509" s="14"/>
      <x:c r="F509" s="14"/>
      <x:c r="G509" s="14"/>
      <x:c r="H509" s="14"/>
      <x:c r="I509" s="14"/>
      <x:c r="J509" s="14"/>
      <x:c r="K509" s="14"/>
      <x:c r="L509" s="12"/>
      <x:c r="M509" s="12"/>
      <x:c r="N509" s="15" t="n">
        <x:f>IF(OR(L509="Operating",L509="Investing",L509="Financing"),C509,0)</x:f>
        <x:v>0</x:v>
      </x:c>
      <x:c r="O509" s="12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>
      <x:c r="A510" s="1"/>
      <x:c r="B510" s="1"/>
      <x:c r="C510" s="14"/>
      <x:c r="D510" s="14"/>
      <x:c r="E510" s="14"/>
      <x:c r="F510" s="14"/>
      <x:c r="G510" s="14"/>
      <x:c r="H510" s="14"/>
      <x:c r="I510" s="14"/>
      <x:c r="J510" s="14"/>
      <x:c r="K510" s="14"/>
      <x:c r="L510" s="12"/>
      <x:c r="M510" s="12"/>
      <x:c r="N510" s="15" t="n">
        <x:f>IF(OR(L510="Operating",L510="Investing",L510="Financing"),C510,0)</x:f>
        <x:v>0</x:v>
      </x:c>
      <x:c r="O510" s="12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>
      <x:c r="A511" s="1"/>
      <x:c r="B511" s="1"/>
      <x:c r="C511" s="14"/>
      <x:c r="D511" s="14"/>
      <x:c r="E511" s="14"/>
      <x:c r="F511" s="14"/>
      <x:c r="G511" s="14"/>
      <x:c r="H511" s="14"/>
      <x:c r="I511" s="14"/>
      <x:c r="J511" s="14"/>
      <x:c r="K511" s="14"/>
      <x:c r="L511" s="12"/>
      <x:c r="M511" s="12"/>
      <x:c r="N511" s="15" t="n">
        <x:f>IF(OR(L511="Operating",L511="Investing",L511="Financing"),C511,0)</x:f>
        <x:v>0</x:v>
      </x:c>
      <x:c r="O511" s="12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>
      <x:c r="A512" s="1"/>
      <x:c r="B512" s="1"/>
      <x:c r="C512" s="14"/>
      <x:c r="D512" s="14"/>
      <x:c r="E512" s="14"/>
      <x:c r="F512" s="14"/>
      <x:c r="G512" s="14"/>
      <x:c r="H512" s="14"/>
      <x:c r="I512" s="14"/>
      <x:c r="J512" s="14"/>
      <x:c r="K512" s="14"/>
      <x:c r="L512" s="12"/>
      <x:c r="M512" s="12"/>
      <x:c r="N512" s="15" t="n">
        <x:f>IF(OR(L512="Operating",L512="Investing",L512="Financing"),C512,0)</x:f>
        <x:v>0</x:v>
      </x:c>
      <x:c r="O512" s="12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>
      <x:c r="A513" s="1"/>
      <x:c r="B513" s="1"/>
      <x:c r="C513" s="14"/>
      <x:c r="D513" s="14"/>
      <x:c r="E513" s="14"/>
      <x:c r="F513" s="14"/>
      <x:c r="G513" s="14"/>
      <x:c r="H513" s="14"/>
      <x:c r="I513" s="14"/>
      <x:c r="J513" s="14"/>
      <x:c r="K513" s="14"/>
      <x:c r="L513" s="12"/>
      <x:c r="M513" s="12"/>
      <x:c r="N513" s="15" t="n">
        <x:f>IF(OR(L513="Operating",L513="Investing",L513="Financing"),C513,0)</x:f>
        <x:v>0</x:v>
      </x:c>
      <x:c r="O513" s="12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>
      <x:c r="A514" s="1"/>
      <x:c r="B514" s="1"/>
      <x:c r="C514" s="14"/>
      <x:c r="D514" s="14"/>
      <x:c r="E514" s="14"/>
      <x:c r="F514" s="14"/>
      <x:c r="G514" s="14"/>
      <x:c r="H514" s="14"/>
      <x:c r="I514" s="14"/>
      <x:c r="J514" s="14"/>
      <x:c r="K514" s="14"/>
      <x:c r="L514" s="12"/>
      <x:c r="M514" s="12"/>
      <x:c r="N514" s="15" t="n">
        <x:f>IF(OR(L514="Operating",L514="Investing",L514="Financing"),C514,0)</x:f>
        <x:v>0</x:v>
      </x:c>
      <x:c r="O514" s="12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>
      <x:c r="A515" s="1"/>
      <x:c r="B515" s="1"/>
      <x:c r="C515" s="14"/>
      <x:c r="D515" s="14"/>
      <x:c r="E515" s="14"/>
      <x:c r="F515" s="14"/>
      <x:c r="G515" s="14"/>
      <x:c r="H515" s="14"/>
      <x:c r="I515" s="14"/>
      <x:c r="J515" s="14"/>
      <x:c r="K515" s="14"/>
      <x:c r="L515" s="12"/>
      <x:c r="M515" s="12"/>
      <x:c r="N515" s="15" t="n">
        <x:f>IF(OR(L515="Operating",L515="Investing",L515="Financing"),C515,0)</x:f>
        <x:v>0</x:v>
      </x:c>
      <x:c r="O515" s="12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>
      <x:c r="A516" s="1"/>
      <x:c r="B516" s="1"/>
      <x:c r="C516" s="14"/>
      <x:c r="D516" s="14"/>
      <x:c r="E516" s="14"/>
      <x:c r="F516" s="14"/>
      <x:c r="G516" s="14"/>
      <x:c r="H516" s="14"/>
      <x:c r="I516" s="14"/>
      <x:c r="J516" s="14"/>
      <x:c r="K516" s="14"/>
      <x:c r="L516" s="12"/>
      <x:c r="M516" s="12"/>
      <x:c r="N516" s="15" t="n">
        <x:f>IF(OR(L516="Operating",L516="Investing",L516="Financing"),C516,0)</x:f>
        <x:v>0</x:v>
      </x:c>
      <x:c r="O516" s="12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>
      <x:c r="A517" s="1"/>
      <x:c r="B517" s="1"/>
      <x:c r="C517" s="14"/>
      <x:c r="D517" s="14"/>
      <x:c r="E517" s="14"/>
      <x:c r="F517" s="14"/>
      <x:c r="G517" s="14"/>
      <x:c r="H517" s="14"/>
      <x:c r="I517" s="14"/>
      <x:c r="J517" s="14"/>
      <x:c r="K517" s="14"/>
      <x:c r="L517" s="12"/>
      <x:c r="M517" s="12"/>
      <x:c r="N517" s="15" t="n">
        <x:f>IF(OR(L517="Operating",L517="Investing",L517="Financing"),C517,0)</x:f>
        <x:v>0</x:v>
      </x:c>
      <x:c r="O517" s="12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>
      <x:c r="A518" s="1"/>
      <x:c r="B518" s="1"/>
      <x:c r="C518" s="14"/>
      <x:c r="D518" s="14"/>
      <x:c r="E518" s="14"/>
      <x:c r="F518" s="14"/>
      <x:c r="G518" s="14"/>
      <x:c r="H518" s="14"/>
      <x:c r="I518" s="14"/>
      <x:c r="J518" s="14"/>
      <x:c r="K518" s="14"/>
      <x:c r="L518" s="12"/>
      <x:c r="M518" s="12"/>
      <x:c r="N518" s="15" t="n">
        <x:f>IF(OR(L518="Operating",L518="Investing",L518="Financing"),C518,0)</x:f>
        <x:v>0</x:v>
      </x:c>
      <x:c r="O518" s="12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>
      <x:c r="A519" s="1"/>
      <x:c r="B519" s="1"/>
      <x:c r="C519" s="14"/>
      <x:c r="D519" s="14"/>
      <x:c r="E519" s="14"/>
      <x:c r="F519" s="14"/>
      <x:c r="G519" s="14"/>
      <x:c r="H519" s="14"/>
      <x:c r="I519" s="14"/>
      <x:c r="J519" s="14"/>
      <x:c r="K519" s="14"/>
      <x:c r="L519" s="12"/>
      <x:c r="M519" s="12"/>
      <x:c r="N519" s="15" t="n">
        <x:f>IF(OR(L519="Operating",L519="Investing",L519="Financing"),C519,0)</x:f>
        <x:v>0</x:v>
      </x:c>
      <x:c r="O519" s="12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>
      <x:c r="A520" s="1"/>
      <x:c r="B520" s="1"/>
      <x:c r="C520" s="14"/>
      <x:c r="D520" s="14"/>
      <x:c r="E520" s="14"/>
      <x:c r="F520" s="14"/>
      <x:c r="G520" s="14"/>
      <x:c r="H520" s="14"/>
      <x:c r="I520" s="14"/>
      <x:c r="J520" s="14"/>
      <x:c r="K520" s="14"/>
      <x:c r="L520" s="12"/>
      <x:c r="M520" s="12"/>
      <x:c r="N520" s="15" t="n">
        <x:f>IF(OR(L520="Operating",L520="Investing",L520="Financing"),C520,0)</x:f>
        <x:v>0</x:v>
      </x:c>
      <x:c r="O520" s="12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>
      <x:c r="A521" s="1"/>
      <x:c r="B521" s="1"/>
      <x:c r="C521" s="14"/>
      <x:c r="D521" s="14"/>
      <x:c r="E521" s="14"/>
      <x:c r="F521" s="14"/>
      <x:c r="G521" s="14"/>
      <x:c r="H521" s="14"/>
      <x:c r="I521" s="14"/>
      <x:c r="J521" s="14"/>
      <x:c r="K521" s="14"/>
      <x:c r="L521" s="12"/>
      <x:c r="M521" s="12"/>
      <x:c r="N521" s="15" t="n">
        <x:f>IF(OR(L521="Operating",L521="Investing",L521="Financing"),C521,0)</x:f>
        <x:v>0</x:v>
      </x:c>
      <x:c r="O521" s="12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>
      <x:c r="A522" s="1"/>
      <x:c r="B522" s="1"/>
      <x:c r="C522" s="14"/>
      <x:c r="D522" s="14"/>
      <x:c r="E522" s="14"/>
      <x:c r="F522" s="14"/>
      <x:c r="G522" s="14"/>
      <x:c r="H522" s="14"/>
      <x:c r="I522" s="14"/>
      <x:c r="J522" s="14"/>
      <x:c r="K522" s="14"/>
      <x:c r="L522" s="12"/>
      <x:c r="M522" s="12"/>
      <x:c r="N522" s="15" t="n">
        <x:f>IF(OR(L522="Operating",L522="Investing",L522="Financing"),C522,0)</x:f>
        <x:v>0</x:v>
      </x:c>
      <x:c r="O522" s="12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>
      <x:c r="A523" s="1"/>
      <x:c r="B523" s="1"/>
      <x:c r="C523" s="14"/>
      <x:c r="D523" s="14"/>
      <x:c r="E523" s="14"/>
      <x:c r="F523" s="14"/>
      <x:c r="G523" s="14"/>
      <x:c r="H523" s="14"/>
      <x:c r="I523" s="14"/>
      <x:c r="J523" s="14"/>
      <x:c r="K523" s="14"/>
      <x:c r="L523" s="12"/>
      <x:c r="M523" s="12"/>
      <x:c r="N523" s="15" t="n">
        <x:f>IF(OR(L523="Operating",L523="Investing",L523="Financing"),C523,0)</x:f>
        <x:v>0</x:v>
      </x:c>
      <x:c r="O523" s="12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>
      <x:c r="A524" s="1"/>
      <x:c r="B524" s="1"/>
      <x:c r="C524" s="14"/>
      <x:c r="D524" s="14"/>
      <x:c r="E524" s="14"/>
      <x:c r="F524" s="14"/>
      <x:c r="G524" s="14"/>
      <x:c r="H524" s="14"/>
      <x:c r="I524" s="14"/>
      <x:c r="J524" s="14"/>
      <x:c r="K524" s="14"/>
      <x:c r="L524" s="12"/>
      <x:c r="M524" s="12"/>
      <x:c r="N524" s="15" t="n">
        <x:f>IF(OR(L524="Operating",L524="Investing",L524="Financing"),C524,0)</x:f>
        <x:v>0</x:v>
      </x:c>
      <x:c r="O524" s="12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>
      <x:c r="A525" s="1"/>
      <x:c r="B525" s="1"/>
      <x:c r="C525" s="14"/>
      <x:c r="D525" s="14"/>
      <x:c r="E525" s="14"/>
      <x:c r="F525" s="14"/>
      <x:c r="G525" s="14"/>
      <x:c r="H525" s="14"/>
      <x:c r="I525" s="14"/>
      <x:c r="J525" s="14"/>
      <x:c r="K525" s="14"/>
      <x:c r="L525" s="12"/>
      <x:c r="M525" s="12"/>
      <x:c r="N525" s="15" t="n">
        <x:f>IF(OR(L525="Operating",L525="Investing",L525="Financing"),C525,0)</x:f>
        <x:v>0</x:v>
      </x:c>
      <x:c r="O525" s="12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>
      <x:c r="A526" s="1"/>
      <x:c r="B526" s="1"/>
      <x:c r="C526" s="14"/>
      <x:c r="D526" s="14"/>
      <x:c r="E526" s="14"/>
      <x:c r="F526" s="14"/>
      <x:c r="G526" s="14"/>
      <x:c r="H526" s="14"/>
      <x:c r="I526" s="14"/>
      <x:c r="J526" s="14"/>
      <x:c r="K526" s="14"/>
      <x:c r="L526" s="12"/>
      <x:c r="M526" s="12"/>
      <x:c r="N526" s="15" t="n">
        <x:f>IF(OR(L526="Operating",L526="Investing",L526="Financing"),C526,0)</x:f>
        <x:v>0</x:v>
      </x:c>
      <x:c r="O526" s="12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>
      <x:c r="A527" s="1"/>
      <x:c r="B527" s="1"/>
      <x:c r="C527" s="14"/>
      <x:c r="D527" s="14"/>
      <x:c r="E527" s="14"/>
      <x:c r="F527" s="14"/>
      <x:c r="G527" s="14"/>
      <x:c r="H527" s="14"/>
      <x:c r="I527" s="14"/>
      <x:c r="J527" s="14"/>
      <x:c r="K527" s="14"/>
      <x:c r="L527" s="12"/>
      <x:c r="M527" s="12"/>
      <x:c r="N527" s="15" t="n">
        <x:f>IF(OR(L527="Operating",L527="Investing",L527="Financing"),C527,0)</x:f>
        <x:v>0</x:v>
      </x:c>
      <x:c r="O527" s="12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>
      <x:c r="A528" s="1"/>
      <x:c r="B528" s="1"/>
      <x:c r="C528" s="14"/>
      <x:c r="D528" s="14"/>
      <x:c r="E528" s="14"/>
      <x:c r="F528" s="14"/>
      <x:c r="G528" s="14"/>
      <x:c r="H528" s="14"/>
      <x:c r="I528" s="14"/>
      <x:c r="J528" s="14"/>
      <x:c r="K528" s="14"/>
      <x:c r="L528" s="12"/>
      <x:c r="M528" s="12"/>
      <x:c r="N528" s="15" t="n">
        <x:f>IF(OR(L528="Operating",L528="Investing",L528="Financing"),C528,0)</x:f>
        <x:v>0</x:v>
      </x:c>
      <x:c r="O528" s="12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>
      <x:c r="A529" s="1"/>
      <x:c r="B529" s="1"/>
      <x:c r="C529" s="14"/>
      <x:c r="D529" s="14"/>
      <x:c r="E529" s="14"/>
      <x:c r="F529" s="14"/>
      <x:c r="G529" s="14"/>
      <x:c r="H529" s="14"/>
      <x:c r="I529" s="14"/>
      <x:c r="J529" s="14"/>
      <x:c r="K529" s="14"/>
      <x:c r="L529" s="12"/>
      <x:c r="M529" s="12"/>
      <x:c r="N529" s="15" t="n">
        <x:f>IF(OR(L529="Operating",L529="Investing",L529="Financing"),C529,0)</x:f>
        <x:v>0</x:v>
      </x:c>
      <x:c r="O529" s="12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>
      <x:c r="A530" s="1"/>
      <x:c r="B530" s="1"/>
      <x:c r="C530" s="14"/>
      <x:c r="D530" s="14"/>
      <x:c r="E530" s="14"/>
      <x:c r="F530" s="14"/>
      <x:c r="G530" s="14"/>
      <x:c r="H530" s="14"/>
      <x:c r="I530" s="14"/>
      <x:c r="J530" s="14"/>
      <x:c r="K530" s="14"/>
      <x:c r="L530" s="12"/>
      <x:c r="M530" s="12"/>
      <x:c r="N530" s="15" t="n">
        <x:f>IF(OR(L530="Operating",L530="Investing",L530="Financing"),C530,0)</x:f>
        <x:v>0</x:v>
      </x:c>
      <x:c r="O530" s="12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>
      <x:c r="A531" s="1"/>
      <x:c r="B531" s="1"/>
      <x:c r="C531" s="14"/>
      <x:c r="D531" s="14"/>
      <x:c r="E531" s="14"/>
      <x:c r="F531" s="14"/>
      <x:c r="G531" s="14"/>
      <x:c r="H531" s="14"/>
      <x:c r="I531" s="14"/>
      <x:c r="J531" s="14"/>
      <x:c r="K531" s="14"/>
      <x:c r="L531" s="12"/>
      <x:c r="M531" s="12"/>
      <x:c r="N531" s="15" t="n">
        <x:f>IF(OR(L531="Operating",L531="Investing",L531="Financing"),C531,0)</x:f>
        <x:v>0</x:v>
      </x:c>
      <x:c r="O531" s="12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>
      <x:c r="A532" s="1"/>
      <x:c r="B532" s="1"/>
      <x:c r="C532" s="14"/>
      <x:c r="D532" s="14"/>
      <x:c r="E532" s="14"/>
      <x:c r="F532" s="14"/>
      <x:c r="G532" s="14"/>
      <x:c r="H532" s="14"/>
      <x:c r="I532" s="14"/>
      <x:c r="J532" s="14"/>
      <x:c r="K532" s="14"/>
      <x:c r="L532" s="12"/>
      <x:c r="M532" s="12"/>
      <x:c r="N532" s="15" t="n">
        <x:f>IF(OR(L532="Operating",L532="Investing",L532="Financing"),C532,0)</x:f>
        <x:v>0</x:v>
      </x:c>
      <x:c r="O532" s="12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>
      <x:c r="A533" s="1"/>
      <x:c r="B533" s="1"/>
      <x:c r="C533" s="14"/>
      <x:c r="D533" s="14"/>
      <x:c r="E533" s="14"/>
      <x:c r="F533" s="14"/>
      <x:c r="G533" s="14"/>
      <x:c r="H533" s="14"/>
      <x:c r="I533" s="14"/>
      <x:c r="J533" s="14"/>
      <x:c r="K533" s="14"/>
      <x:c r="L533" s="12"/>
      <x:c r="M533" s="12"/>
      <x:c r="N533" s="15" t="n">
        <x:f>IF(OR(L533="Operating",L533="Investing",L533="Financing"),C533,0)</x:f>
        <x:v>0</x:v>
      </x:c>
      <x:c r="O533" s="12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>
      <x:c r="A534" s="1"/>
      <x:c r="B534" s="1"/>
      <x:c r="C534" s="14"/>
      <x:c r="D534" s="14"/>
      <x:c r="E534" s="14"/>
      <x:c r="F534" s="14"/>
      <x:c r="G534" s="14"/>
      <x:c r="H534" s="14"/>
      <x:c r="I534" s="14"/>
      <x:c r="J534" s="14"/>
      <x:c r="K534" s="14"/>
      <x:c r="L534" s="12"/>
      <x:c r="M534" s="12"/>
      <x:c r="N534" s="15" t="n">
        <x:f>IF(OR(L534="Operating",L534="Investing",L534="Financing"),C534,0)</x:f>
        <x:v>0</x:v>
      </x:c>
      <x:c r="O534" s="12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>
      <x:c r="A535" s="1"/>
      <x:c r="B535" s="1"/>
      <x:c r="C535" s="14"/>
      <x:c r="D535" s="14"/>
      <x:c r="E535" s="14"/>
      <x:c r="F535" s="14"/>
      <x:c r="G535" s="14"/>
      <x:c r="H535" s="14"/>
      <x:c r="I535" s="14"/>
      <x:c r="J535" s="14"/>
      <x:c r="K535" s="14"/>
      <x:c r="L535" s="12"/>
      <x:c r="M535" s="12"/>
      <x:c r="N535" s="15" t="n">
        <x:f>IF(OR(L535="Operating",L535="Investing",L535="Financing"),C535,0)</x:f>
        <x:v>0</x:v>
      </x:c>
      <x:c r="O535" s="12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>
      <x:c r="A536" s="1"/>
      <x:c r="B536" s="1"/>
      <x:c r="C536" s="14"/>
      <x:c r="D536" s="14"/>
      <x:c r="E536" s="14"/>
      <x:c r="F536" s="14"/>
      <x:c r="G536" s="14"/>
      <x:c r="H536" s="14"/>
      <x:c r="I536" s="14"/>
      <x:c r="J536" s="14"/>
      <x:c r="K536" s="14"/>
      <x:c r="L536" s="12"/>
      <x:c r="M536" s="12"/>
      <x:c r="N536" s="15" t="n">
        <x:f>IF(OR(L536="Operating",L536="Investing",L536="Financing"),C536,0)</x:f>
        <x:v>0</x:v>
      </x:c>
      <x:c r="O536" s="12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>
      <x:c r="A537" s="1"/>
      <x:c r="B537" s="1"/>
      <x:c r="C537" s="14"/>
      <x:c r="D537" s="14"/>
      <x:c r="E537" s="14"/>
      <x:c r="F537" s="14"/>
      <x:c r="G537" s="14"/>
      <x:c r="H537" s="14"/>
      <x:c r="I537" s="14"/>
      <x:c r="J537" s="14"/>
      <x:c r="K537" s="14"/>
      <x:c r="L537" s="12"/>
      <x:c r="M537" s="12"/>
      <x:c r="N537" s="15" t="n">
        <x:f>IF(OR(L537="Operating",L537="Investing",L537="Financing"),C537,0)</x:f>
        <x:v>0</x:v>
      </x:c>
      <x:c r="O537" s="12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>
      <x:c r="A538" s="1"/>
      <x:c r="B538" s="1"/>
      <x:c r="C538" s="14"/>
      <x:c r="D538" s="14"/>
      <x:c r="E538" s="14"/>
      <x:c r="F538" s="14"/>
      <x:c r="G538" s="14"/>
      <x:c r="H538" s="14"/>
      <x:c r="I538" s="14"/>
      <x:c r="J538" s="14"/>
      <x:c r="K538" s="14"/>
      <x:c r="L538" s="12"/>
      <x:c r="M538" s="12"/>
      <x:c r="N538" s="15" t="n">
        <x:f>IF(OR(L538="Operating",L538="Investing",L538="Financing"),C538,0)</x:f>
        <x:v>0</x:v>
      </x:c>
      <x:c r="O538" s="12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>
      <x:c r="A539" s="1"/>
      <x:c r="B539" s="1"/>
      <x:c r="C539" s="14"/>
      <x:c r="D539" s="14"/>
      <x:c r="E539" s="14"/>
      <x:c r="F539" s="14"/>
      <x:c r="G539" s="14"/>
      <x:c r="H539" s="14"/>
      <x:c r="I539" s="14"/>
      <x:c r="J539" s="14"/>
      <x:c r="K539" s="14"/>
      <x:c r="L539" s="12"/>
      <x:c r="M539" s="12"/>
      <x:c r="N539" s="15" t="n">
        <x:f>IF(OR(L539="Operating",L539="Investing",L539="Financing"),C539,0)</x:f>
        <x:v>0</x:v>
      </x:c>
      <x:c r="O539" s="12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>
      <x:c r="A540" s="1"/>
      <x:c r="B540" s="1"/>
      <x:c r="C540" s="14"/>
      <x:c r="D540" s="14"/>
      <x:c r="E540" s="14"/>
      <x:c r="F540" s="14"/>
      <x:c r="G540" s="14"/>
      <x:c r="H540" s="14"/>
      <x:c r="I540" s="14"/>
      <x:c r="J540" s="14"/>
      <x:c r="K540" s="14"/>
      <x:c r="L540" s="12"/>
      <x:c r="M540" s="12"/>
      <x:c r="N540" s="15" t="n">
        <x:f>IF(OR(L540="Operating",L540="Investing",L540="Financing"),C540,0)</x:f>
        <x:v>0</x:v>
      </x:c>
      <x:c r="O540" s="12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>
      <x:c r="A541" s="1"/>
      <x:c r="B541" s="1"/>
      <x:c r="C541" s="14"/>
      <x:c r="D541" s="14"/>
      <x:c r="E541" s="14"/>
      <x:c r="F541" s="14"/>
      <x:c r="G541" s="14"/>
      <x:c r="H541" s="14"/>
      <x:c r="I541" s="14"/>
      <x:c r="J541" s="14"/>
      <x:c r="K541" s="14"/>
      <x:c r="L541" s="12"/>
      <x:c r="M541" s="12"/>
      <x:c r="N541" s="15" t="n">
        <x:f>IF(OR(L541="Operating",L541="Investing",L541="Financing"),C541,0)</x:f>
        <x:v>0</x:v>
      </x:c>
      <x:c r="O541" s="12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>
      <x:c r="A542" s="1"/>
      <x:c r="B542" s="1"/>
      <x:c r="C542" s="14"/>
      <x:c r="D542" s="14"/>
      <x:c r="E542" s="14"/>
      <x:c r="F542" s="14"/>
      <x:c r="G542" s="14"/>
      <x:c r="H542" s="14"/>
      <x:c r="I542" s="14"/>
      <x:c r="J542" s="14"/>
      <x:c r="K542" s="14"/>
      <x:c r="L542" s="12"/>
      <x:c r="M542" s="12"/>
      <x:c r="N542" s="15" t="n">
        <x:f>IF(OR(L542="Operating",L542="Investing",L542="Financing"),C542,0)</x:f>
        <x:v>0</x:v>
      </x:c>
      <x:c r="O542" s="12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>
      <x:c r="A543" s="1"/>
      <x:c r="B543" s="1"/>
      <x:c r="C543" s="14"/>
      <x:c r="D543" s="14"/>
      <x:c r="E543" s="14"/>
      <x:c r="F543" s="14"/>
      <x:c r="G543" s="14"/>
      <x:c r="H543" s="14"/>
      <x:c r="I543" s="14"/>
      <x:c r="J543" s="14"/>
      <x:c r="K543" s="14"/>
      <x:c r="L543" s="12"/>
      <x:c r="M543" s="12"/>
      <x:c r="N543" s="15" t="n">
        <x:f>IF(OR(L543="Operating",L543="Investing",L543="Financing"),C543,0)</x:f>
        <x:v>0</x:v>
      </x:c>
      <x:c r="O543" s="12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>
      <x:c r="A544" s="1"/>
      <x:c r="B544" s="1"/>
      <x:c r="C544" s="14"/>
      <x:c r="D544" s="14"/>
      <x:c r="E544" s="14"/>
      <x:c r="F544" s="14"/>
      <x:c r="G544" s="14"/>
      <x:c r="H544" s="14"/>
      <x:c r="I544" s="14"/>
      <x:c r="J544" s="14"/>
      <x:c r="K544" s="14"/>
      <x:c r="L544" s="12"/>
      <x:c r="M544" s="12"/>
      <x:c r="N544" s="15" t="n">
        <x:f>IF(OR(L544="Operating",L544="Investing",L544="Financing"),C544,0)</x:f>
        <x:v>0</x:v>
      </x:c>
      <x:c r="O544" s="12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>
      <x:c r="A545" s="1"/>
      <x:c r="B545" s="1"/>
      <x:c r="C545" s="14"/>
      <x:c r="D545" s="14"/>
      <x:c r="E545" s="14"/>
      <x:c r="F545" s="14"/>
      <x:c r="G545" s="14"/>
      <x:c r="H545" s="14"/>
      <x:c r="I545" s="14"/>
      <x:c r="J545" s="14"/>
      <x:c r="K545" s="14"/>
      <x:c r="L545" s="12"/>
      <x:c r="M545" s="12"/>
      <x:c r="N545" s="15" t="n">
        <x:f>IF(OR(L545="Operating",L545="Investing",L545="Financing"),C545,0)</x:f>
        <x:v>0</x:v>
      </x:c>
      <x:c r="O545" s="12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>
      <x:c r="A546" s="1"/>
      <x:c r="B546" s="1"/>
      <x:c r="C546" s="14"/>
      <x:c r="D546" s="14"/>
      <x:c r="E546" s="14"/>
      <x:c r="F546" s="14"/>
      <x:c r="G546" s="14"/>
      <x:c r="H546" s="14"/>
      <x:c r="I546" s="14"/>
      <x:c r="J546" s="14"/>
      <x:c r="K546" s="14"/>
      <x:c r="L546" s="12"/>
      <x:c r="M546" s="12"/>
      <x:c r="N546" s="15" t="n">
        <x:f>IF(OR(L546="Operating",L546="Investing",L546="Financing"),C546,0)</x:f>
        <x:v>0</x:v>
      </x:c>
      <x:c r="O546" s="12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>
      <x:c r="A547" s="1"/>
      <x:c r="B547" s="1"/>
      <x:c r="C547" s="14"/>
      <x:c r="D547" s="14"/>
      <x:c r="E547" s="14"/>
      <x:c r="F547" s="14"/>
      <x:c r="G547" s="14"/>
      <x:c r="H547" s="14"/>
      <x:c r="I547" s="14"/>
      <x:c r="J547" s="14"/>
      <x:c r="K547" s="14"/>
      <x:c r="L547" s="12"/>
      <x:c r="M547" s="12"/>
      <x:c r="N547" s="15" t="n">
        <x:f>IF(OR(L547="Operating",L547="Investing",L547="Financing"),C547,0)</x:f>
        <x:v>0</x:v>
      </x:c>
      <x:c r="O547" s="12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>
      <x:c r="A548" s="1"/>
      <x:c r="B548" s="1"/>
      <x:c r="C548" s="14"/>
      <x:c r="D548" s="14"/>
      <x:c r="E548" s="14"/>
      <x:c r="F548" s="14"/>
      <x:c r="G548" s="14"/>
      <x:c r="H548" s="14"/>
      <x:c r="I548" s="14"/>
      <x:c r="J548" s="14"/>
      <x:c r="K548" s="14"/>
      <x:c r="L548" s="12"/>
      <x:c r="M548" s="12"/>
      <x:c r="N548" s="15" t="n">
        <x:f>IF(OR(L548="Operating",L548="Investing",L548="Financing"),C548,0)</x:f>
        <x:v>0</x:v>
      </x:c>
      <x:c r="O548" s="12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>
      <x:c r="A549" s="1"/>
      <x:c r="B549" s="1"/>
      <x:c r="C549" s="14"/>
      <x:c r="D549" s="14"/>
      <x:c r="E549" s="14"/>
      <x:c r="F549" s="14"/>
      <x:c r="G549" s="14"/>
      <x:c r="H549" s="14"/>
      <x:c r="I549" s="14"/>
      <x:c r="J549" s="14"/>
      <x:c r="K549" s="14"/>
      <x:c r="L549" s="12"/>
      <x:c r="M549" s="12"/>
      <x:c r="N549" s="15" t="n">
        <x:f>IF(OR(L549="Operating",L549="Investing",L549="Financing"),C549,0)</x:f>
        <x:v>0</x:v>
      </x:c>
      <x:c r="O549" s="12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>
      <x:c r="A550" s="1"/>
      <x:c r="B550" s="1"/>
      <x:c r="C550" s="14"/>
      <x:c r="D550" s="14"/>
      <x:c r="E550" s="14"/>
      <x:c r="F550" s="14"/>
      <x:c r="G550" s="14"/>
      <x:c r="H550" s="14"/>
      <x:c r="I550" s="14"/>
      <x:c r="J550" s="14"/>
      <x:c r="K550" s="14"/>
      <x:c r="L550" s="12"/>
      <x:c r="M550" s="12"/>
      <x:c r="N550" s="15" t="n">
        <x:f>IF(OR(L550="Operating",L550="Investing",L550="Financing"),C550,0)</x:f>
        <x:v>0</x:v>
      </x:c>
      <x:c r="O550" s="12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>
      <x:c r="A551" s="1"/>
      <x:c r="B551" s="1"/>
      <x:c r="C551" s="14"/>
      <x:c r="D551" s="14"/>
      <x:c r="E551" s="14"/>
      <x:c r="F551" s="14"/>
      <x:c r="G551" s="14"/>
      <x:c r="H551" s="14"/>
      <x:c r="I551" s="14"/>
      <x:c r="J551" s="14"/>
      <x:c r="K551" s="14"/>
      <x:c r="L551" s="12"/>
      <x:c r="M551" s="12"/>
      <x:c r="N551" s="15" t="n">
        <x:f>IF(OR(L551="Operating",L551="Investing",L551="Financing"),C551,0)</x:f>
        <x:v>0</x:v>
      </x:c>
      <x:c r="O551" s="12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>
      <x:c r="A552" s="1"/>
      <x:c r="B552" s="1"/>
      <x:c r="C552" s="14"/>
      <x:c r="D552" s="14"/>
      <x:c r="E552" s="14"/>
      <x:c r="F552" s="14"/>
      <x:c r="G552" s="14"/>
      <x:c r="H552" s="14"/>
      <x:c r="I552" s="14"/>
      <x:c r="J552" s="14"/>
      <x:c r="K552" s="14"/>
      <x:c r="L552" s="12"/>
      <x:c r="M552" s="12"/>
      <x:c r="N552" s="15" t="n">
        <x:f>IF(OR(L552="Operating",L552="Investing",L552="Financing"),C552,0)</x:f>
        <x:v>0</x:v>
      </x:c>
      <x:c r="O552" s="12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>
      <x:c r="A553" s="1"/>
      <x:c r="B553" s="1"/>
      <x:c r="C553" s="14"/>
      <x:c r="D553" s="14"/>
      <x:c r="E553" s="14"/>
      <x:c r="F553" s="14"/>
      <x:c r="G553" s="14"/>
      <x:c r="H553" s="14"/>
      <x:c r="I553" s="14"/>
      <x:c r="J553" s="14"/>
      <x:c r="K553" s="14"/>
      <x:c r="L553" s="12"/>
      <x:c r="M553" s="12"/>
      <x:c r="N553" s="15" t="n">
        <x:f>IF(OR(L553="Operating",L553="Investing",L553="Financing"),C553,0)</x:f>
        <x:v>0</x:v>
      </x:c>
      <x:c r="O553" s="12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>
      <x:c r="A554" s="1"/>
      <x:c r="B554" s="1"/>
      <x:c r="C554" s="14"/>
      <x:c r="D554" s="14"/>
      <x:c r="E554" s="14"/>
      <x:c r="F554" s="14"/>
      <x:c r="G554" s="14"/>
      <x:c r="H554" s="14"/>
      <x:c r="I554" s="14"/>
      <x:c r="J554" s="14"/>
      <x:c r="K554" s="14"/>
      <x:c r="L554" s="12"/>
      <x:c r="M554" s="12"/>
      <x:c r="N554" s="15" t="n">
        <x:f>IF(OR(L554="Operating",L554="Investing",L554="Financing"),C554,0)</x:f>
        <x:v>0</x:v>
      </x:c>
      <x:c r="O554" s="12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>
      <x:c r="A555" s="1"/>
      <x:c r="B555" s="1"/>
      <x:c r="C555" s="14"/>
      <x:c r="D555" s="14"/>
      <x:c r="E555" s="14"/>
      <x:c r="F555" s="14"/>
      <x:c r="G555" s="14"/>
      <x:c r="H555" s="14"/>
      <x:c r="I555" s="14"/>
      <x:c r="J555" s="14"/>
      <x:c r="K555" s="14"/>
      <x:c r="L555" s="12"/>
      <x:c r="M555" s="12"/>
      <x:c r="N555" s="15" t="n">
        <x:f>IF(OR(L555="Operating",L555="Investing",L555="Financing"),C555,0)</x:f>
        <x:v>0</x:v>
      </x:c>
      <x:c r="O555" s="12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>
      <x:c r="A556" s="1"/>
      <x:c r="B556" s="1"/>
      <x:c r="C556" s="14"/>
      <x:c r="D556" s="14"/>
      <x:c r="E556" s="14"/>
      <x:c r="F556" s="14"/>
      <x:c r="G556" s="14"/>
      <x:c r="H556" s="14"/>
      <x:c r="I556" s="14"/>
      <x:c r="J556" s="14"/>
      <x:c r="K556" s="14"/>
      <x:c r="L556" s="12"/>
      <x:c r="M556" s="12"/>
      <x:c r="N556" s="15" t="n">
        <x:f>IF(OR(L556="Operating",L556="Investing",L556="Financing"),C556,0)</x:f>
        <x:v>0</x:v>
      </x:c>
      <x:c r="O556" s="12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>
      <x:c r="A557" s="1"/>
      <x:c r="B557" s="1"/>
      <x:c r="C557" s="14"/>
      <x:c r="D557" s="14"/>
      <x:c r="E557" s="14"/>
      <x:c r="F557" s="14"/>
      <x:c r="G557" s="14"/>
      <x:c r="H557" s="14"/>
      <x:c r="I557" s="14"/>
      <x:c r="J557" s="14"/>
      <x:c r="K557" s="14"/>
      <x:c r="L557" s="12"/>
      <x:c r="M557" s="12"/>
      <x:c r="N557" s="15" t="n">
        <x:f>IF(OR(L557="Operating",L557="Investing",L557="Financing"),C557,0)</x:f>
        <x:v>0</x:v>
      </x:c>
      <x:c r="O557" s="12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>
      <x:c r="A558" s="1"/>
      <x:c r="B558" s="1"/>
      <x:c r="C558" s="14"/>
      <x:c r="D558" s="14"/>
      <x:c r="E558" s="14"/>
      <x:c r="F558" s="14"/>
      <x:c r="G558" s="14"/>
      <x:c r="H558" s="14"/>
      <x:c r="I558" s="14"/>
      <x:c r="J558" s="14"/>
      <x:c r="K558" s="14"/>
      <x:c r="L558" s="12"/>
      <x:c r="M558" s="12"/>
      <x:c r="N558" s="15" t="n">
        <x:f>IF(OR(L558="Operating",L558="Investing",L558="Financing"),C558,0)</x:f>
        <x:v>0</x:v>
      </x:c>
      <x:c r="O558" s="12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>
      <x:c r="A559" s="1"/>
      <x:c r="B559" s="1"/>
      <x:c r="C559" s="14"/>
      <x:c r="D559" s="14"/>
      <x:c r="E559" s="14"/>
      <x:c r="F559" s="14"/>
      <x:c r="G559" s="14"/>
      <x:c r="H559" s="14"/>
      <x:c r="I559" s="14"/>
      <x:c r="J559" s="14"/>
      <x:c r="K559" s="14"/>
      <x:c r="L559" s="12"/>
      <x:c r="M559" s="12"/>
      <x:c r="N559" s="15" t="n">
        <x:f>IF(OR(L559="Operating",L559="Investing",L559="Financing"),C559,0)</x:f>
        <x:v>0</x:v>
      </x:c>
      <x:c r="O559" s="12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>
      <x:c r="A560" s="1"/>
      <x:c r="B560" s="1"/>
      <x:c r="C560" s="14"/>
      <x:c r="D560" s="14"/>
      <x:c r="E560" s="14"/>
      <x:c r="F560" s="14"/>
      <x:c r="G560" s="14"/>
      <x:c r="H560" s="14"/>
      <x:c r="I560" s="14"/>
      <x:c r="J560" s="14"/>
      <x:c r="K560" s="14"/>
      <x:c r="L560" s="12"/>
      <x:c r="M560" s="12"/>
      <x:c r="N560" s="15" t="n">
        <x:f>IF(OR(L560="Operating",L560="Investing",L560="Financing"),C560,0)</x:f>
        <x:v>0</x:v>
      </x:c>
      <x:c r="O560" s="12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>
      <x:c r="A561" s="1"/>
      <x:c r="B561" s="1"/>
      <x:c r="C561" s="14"/>
      <x:c r="D561" s="14"/>
      <x:c r="E561" s="14"/>
      <x:c r="F561" s="14"/>
      <x:c r="G561" s="14"/>
      <x:c r="H561" s="14"/>
      <x:c r="I561" s="14"/>
      <x:c r="J561" s="14"/>
      <x:c r="K561" s="14"/>
      <x:c r="L561" s="12"/>
      <x:c r="M561" s="12"/>
      <x:c r="N561" s="15" t="n">
        <x:f>IF(OR(L561="Operating",L561="Investing",L561="Financing"),C561,0)</x:f>
        <x:v>0</x:v>
      </x:c>
      <x:c r="O561" s="12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>
      <x:c r="A562" s="1"/>
      <x:c r="B562" s="1"/>
      <x:c r="C562" s="14"/>
      <x:c r="D562" s="14"/>
      <x:c r="E562" s="14"/>
      <x:c r="F562" s="14"/>
      <x:c r="G562" s="14"/>
      <x:c r="H562" s="14"/>
      <x:c r="I562" s="14"/>
      <x:c r="J562" s="14"/>
      <x:c r="K562" s="14"/>
      <x:c r="L562" s="12"/>
      <x:c r="M562" s="12"/>
      <x:c r="N562" s="15" t="n">
        <x:f>IF(OR(L562="Operating",L562="Investing",L562="Financing"),C562,0)</x:f>
        <x:v>0</x:v>
      </x:c>
      <x:c r="O562" s="12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>
      <x:c r="A563" s="1"/>
      <x:c r="B563" s="1"/>
      <x:c r="C563" s="14"/>
      <x:c r="D563" s="14"/>
      <x:c r="E563" s="14"/>
      <x:c r="F563" s="14"/>
      <x:c r="G563" s="14"/>
      <x:c r="H563" s="14"/>
      <x:c r="I563" s="14"/>
      <x:c r="J563" s="14"/>
      <x:c r="K563" s="14"/>
      <x:c r="L563" s="12"/>
      <x:c r="M563" s="12"/>
      <x:c r="N563" s="15" t="n">
        <x:f>IF(OR(L563="Operating",L563="Investing",L563="Financing"),C563,0)</x:f>
        <x:v>0</x:v>
      </x:c>
      <x:c r="O563" s="12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>
      <x:c r="A564" s="1"/>
      <x:c r="B564" s="1"/>
      <x:c r="C564" s="14"/>
      <x:c r="D564" s="14"/>
      <x:c r="E564" s="14"/>
      <x:c r="F564" s="14"/>
      <x:c r="G564" s="14"/>
      <x:c r="H564" s="14"/>
      <x:c r="I564" s="14"/>
      <x:c r="J564" s="14"/>
      <x:c r="K564" s="14"/>
      <x:c r="L564" s="12"/>
      <x:c r="M564" s="12"/>
      <x:c r="N564" s="15" t="n">
        <x:f>IF(OR(L564="Operating",L564="Investing",L564="Financing"),C564,0)</x:f>
        <x:v>0</x:v>
      </x:c>
      <x:c r="O564" s="12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>
      <x:c r="A565" s="1"/>
      <x:c r="B565" s="1"/>
      <x:c r="C565" s="14"/>
      <x:c r="D565" s="14"/>
      <x:c r="E565" s="14"/>
      <x:c r="F565" s="14"/>
      <x:c r="G565" s="14"/>
      <x:c r="H565" s="14"/>
      <x:c r="I565" s="14"/>
      <x:c r="J565" s="14"/>
      <x:c r="K565" s="14"/>
      <x:c r="L565" s="12"/>
      <x:c r="M565" s="12"/>
      <x:c r="N565" s="15" t="n">
        <x:f>IF(OR(L565="Operating",L565="Investing",L565="Financing"),C565,0)</x:f>
        <x:v>0</x:v>
      </x:c>
      <x:c r="O565" s="12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>
      <x:c r="A566" s="1"/>
      <x:c r="B566" s="1"/>
      <x:c r="C566" s="14"/>
      <x:c r="D566" s="14"/>
      <x:c r="E566" s="14"/>
      <x:c r="F566" s="14"/>
      <x:c r="G566" s="14"/>
      <x:c r="H566" s="14"/>
      <x:c r="I566" s="14"/>
      <x:c r="J566" s="14"/>
      <x:c r="K566" s="14"/>
      <x:c r="L566" s="12"/>
      <x:c r="M566" s="12"/>
      <x:c r="N566" s="15" t="n">
        <x:f>IF(OR(L566="Operating",L566="Investing",L566="Financing"),C566,0)</x:f>
        <x:v>0</x:v>
      </x:c>
      <x:c r="O566" s="12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>
      <x:c r="A567" s="1"/>
      <x:c r="B567" s="1"/>
      <x:c r="C567" s="14"/>
      <x:c r="D567" s="14"/>
      <x:c r="E567" s="14"/>
      <x:c r="F567" s="14"/>
      <x:c r="G567" s="14"/>
      <x:c r="H567" s="14"/>
      <x:c r="I567" s="14"/>
      <x:c r="J567" s="14"/>
      <x:c r="K567" s="14"/>
      <x:c r="L567" s="12"/>
      <x:c r="M567" s="12"/>
      <x:c r="N567" s="15" t="n">
        <x:f>IF(OR(L567="Operating",L567="Investing",L567="Financing"),C567,0)</x:f>
        <x:v>0</x:v>
      </x:c>
      <x:c r="O567" s="12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>
      <x:c r="A568" s="1"/>
      <x:c r="B568" s="1"/>
      <x:c r="C568" s="14"/>
      <x:c r="D568" s="14"/>
      <x:c r="E568" s="14"/>
      <x:c r="F568" s="14"/>
      <x:c r="G568" s="14"/>
      <x:c r="H568" s="14"/>
      <x:c r="I568" s="14"/>
      <x:c r="J568" s="14"/>
      <x:c r="K568" s="14"/>
      <x:c r="L568" s="12"/>
      <x:c r="M568" s="12"/>
      <x:c r="N568" s="15" t="n">
        <x:f>IF(OR(L568="Operating",L568="Investing",L568="Financing"),C568,0)</x:f>
        <x:v>0</x:v>
      </x:c>
      <x:c r="O568" s="12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>
      <x:c r="A569" s="1"/>
      <x:c r="B569" s="1"/>
      <x:c r="C569" s="14"/>
      <x:c r="D569" s="14"/>
      <x:c r="E569" s="14"/>
      <x:c r="F569" s="14"/>
      <x:c r="G569" s="14"/>
      <x:c r="H569" s="14"/>
      <x:c r="I569" s="14"/>
      <x:c r="J569" s="14"/>
      <x:c r="K569" s="14"/>
      <x:c r="L569" s="12"/>
      <x:c r="M569" s="12"/>
      <x:c r="N569" s="15" t="n">
        <x:f>IF(OR(L569="Operating",L569="Investing",L569="Financing"),C569,0)</x:f>
        <x:v>0</x:v>
      </x:c>
      <x:c r="O569" s="12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>
      <x:c r="A570" s="1"/>
      <x:c r="B570" s="1"/>
      <x:c r="C570" s="14"/>
      <x:c r="D570" s="14"/>
      <x:c r="E570" s="14"/>
      <x:c r="F570" s="14"/>
      <x:c r="G570" s="14"/>
      <x:c r="H570" s="14"/>
      <x:c r="I570" s="14"/>
      <x:c r="J570" s="14"/>
      <x:c r="K570" s="14"/>
      <x:c r="L570" s="12"/>
      <x:c r="M570" s="12"/>
      <x:c r="N570" s="15" t="n">
        <x:f>IF(OR(L570="Operating",L570="Investing",L570="Financing"),C570,0)</x:f>
        <x:v>0</x:v>
      </x:c>
      <x:c r="O570" s="12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>
      <x:c r="A571" s="1"/>
      <x:c r="B571" s="1"/>
      <x:c r="C571" s="14"/>
      <x:c r="D571" s="14"/>
      <x:c r="E571" s="14"/>
      <x:c r="F571" s="14"/>
      <x:c r="G571" s="14"/>
      <x:c r="H571" s="14"/>
      <x:c r="I571" s="14"/>
      <x:c r="J571" s="14"/>
      <x:c r="K571" s="14"/>
      <x:c r="L571" s="12"/>
      <x:c r="M571" s="12"/>
      <x:c r="N571" s="15" t="n">
        <x:f>IF(OR(L571="Operating",L571="Investing",L571="Financing"),C571,0)</x:f>
        <x:v>0</x:v>
      </x:c>
      <x:c r="O571" s="12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>
      <x:c r="A572" s="1"/>
      <x:c r="B572" s="1"/>
      <x:c r="C572" s="14"/>
      <x:c r="D572" s="14"/>
      <x:c r="E572" s="14"/>
      <x:c r="F572" s="14"/>
      <x:c r="G572" s="14"/>
      <x:c r="H572" s="14"/>
      <x:c r="I572" s="14"/>
      <x:c r="J572" s="14"/>
      <x:c r="K572" s="14"/>
      <x:c r="L572" s="12"/>
      <x:c r="M572" s="12"/>
      <x:c r="N572" s="15" t="n">
        <x:f>IF(OR(L572="Operating",L572="Investing",L572="Financing"),C572,0)</x:f>
        <x:v>0</x:v>
      </x:c>
      <x:c r="O572" s="12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>
      <x:c r="A573" s="1"/>
      <x:c r="B573" s="1"/>
      <x:c r="C573" s="14"/>
      <x:c r="D573" s="14"/>
      <x:c r="E573" s="14"/>
      <x:c r="F573" s="14"/>
      <x:c r="G573" s="14"/>
      <x:c r="H573" s="14"/>
      <x:c r="I573" s="14"/>
      <x:c r="J573" s="14"/>
      <x:c r="K573" s="14"/>
      <x:c r="L573" s="12"/>
      <x:c r="M573" s="12"/>
      <x:c r="N573" s="15" t="n">
        <x:f>IF(OR(L573="Operating",L573="Investing",L573="Financing"),C573,0)</x:f>
        <x:v>0</x:v>
      </x:c>
      <x:c r="O573" s="12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>
      <x:c r="A574" s="1"/>
      <x:c r="B574" s="1"/>
      <x:c r="C574" s="14"/>
      <x:c r="D574" s="14"/>
      <x:c r="E574" s="14"/>
      <x:c r="F574" s="14"/>
      <x:c r="G574" s="14"/>
      <x:c r="H574" s="14"/>
      <x:c r="I574" s="14"/>
      <x:c r="J574" s="14"/>
      <x:c r="K574" s="14"/>
      <x:c r="L574" s="12"/>
      <x:c r="M574" s="12"/>
      <x:c r="N574" s="15" t="n">
        <x:f>IF(OR(L574="Operating",L574="Investing",L574="Financing"),C574,0)</x:f>
        <x:v>0</x:v>
      </x:c>
      <x:c r="O574" s="12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>
      <x:c r="A575" s="1"/>
      <x:c r="B575" s="1"/>
      <x:c r="C575" s="14"/>
      <x:c r="D575" s="14"/>
      <x:c r="E575" s="14"/>
      <x:c r="F575" s="14"/>
      <x:c r="G575" s="14"/>
      <x:c r="H575" s="14"/>
      <x:c r="I575" s="14"/>
      <x:c r="J575" s="14"/>
      <x:c r="K575" s="14"/>
      <x:c r="L575" s="12"/>
      <x:c r="M575" s="12"/>
      <x:c r="N575" s="15" t="n">
        <x:f>IF(OR(L575="Operating",L575="Investing",L575="Financing"),C575,0)</x:f>
        <x:v>0</x:v>
      </x:c>
      <x:c r="O575" s="12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>
      <x:c r="A576" s="1"/>
      <x:c r="B576" s="1"/>
      <x:c r="C576" s="14"/>
      <x:c r="D576" s="14"/>
      <x:c r="E576" s="14"/>
      <x:c r="F576" s="14"/>
      <x:c r="G576" s="14"/>
      <x:c r="H576" s="14"/>
      <x:c r="I576" s="14"/>
      <x:c r="J576" s="14"/>
      <x:c r="K576" s="14"/>
      <x:c r="L576" s="12"/>
      <x:c r="M576" s="12"/>
      <x:c r="N576" s="15" t="n">
        <x:f>IF(OR(L576="Operating",L576="Investing",L576="Financing"),C576,0)</x:f>
        <x:v>0</x:v>
      </x:c>
      <x:c r="O576" s="12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>
      <x:c r="A577" s="1"/>
      <x:c r="B577" s="1"/>
      <x:c r="C577" s="14"/>
      <x:c r="D577" s="14"/>
      <x:c r="E577" s="14"/>
      <x:c r="F577" s="14"/>
      <x:c r="G577" s="14"/>
      <x:c r="H577" s="14"/>
      <x:c r="I577" s="14"/>
      <x:c r="J577" s="14"/>
      <x:c r="K577" s="14"/>
      <x:c r="L577" s="12"/>
      <x:c r="M577" s="12"/>
      <x:c r="N577" s="15" t="n">
        <x:f>IF(OR(L577="Operating",L577="Investing",L577="Financing"),C577,0)</x:f>
        <x:v>0</x:v>
      </x:c>
      <x:c r="O577" s="12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>
      <x:c r="A578" s="1"/>
      <x:c r="B578" s="1"/>
      <x:c r="C578" s="14"/>
      <x:c r="D578" s="14"/>
      <x:c r="E578" s="14"/>
      <x:c r="F578" s="14"/>
      <x:c r="G578" s="14"/>
      <x:c r="H578" s="14"/>
      <x:c r="I578" s="14"/>
      <x:c r="J578" s="14"/>
      <x:c r="K578" s="14"/>
      <x:c r="L578" s="12"/>
      <x:c r="M578" s="12"/>
      <x:c r="N578" s="15" t="n">
        <x:f>IF(OR(L578="Operating",L578="Investing",L578="Financing"),C578,0)</x:f>
        <x:v>0</x:v>
      </x:c>
      <x:c r="O578" s="12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>
      <x:c r="A579" s="1"/>
      <x:c r="B579" s="1"/>
      <x:c r="C579" s="14"/>
      <x:c r="D579" s="14"/>
      <x:c r="E579" s="14"/>
      <x:c r="F579" s="14"/>
      <x:c r="G579" s="14"/>
      <x:c r="H579" s="14"/>
      <x:c r="I579" s="14"/>
      <x:c r="J579" s="14"/>
      <x:c r="K579" s="14"/>
      <x:c r="L579" s="12"/>
      <x:c r="M579" s="12"/>
      <x:c r="N579" s="15" t="n">
        <x:f>IF(OR(L579="Operating",L579="Investing",L579="Financing"),C579,0)</x:f>
        <x:v>0</x:v>
      </x:c>
      <x:c r="O579" s="12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>
      <x:c r="A580" s="1"/>
      <x:c r="B580" s="1"/>
      <x:c r="C580" s="14"/>
      <x:c r="D580" s="14"/>
      <x:c r="E580" s="14"/>
      <x:c r="F580" s="14"/>
      <x:c r="G580" s="14"/>
      <x:c r="H580" s="14"/>
      <x:c r="I580" s="14"/>
      <x:c r="J580" s="14"/>
      <x:c r="K580" s="14"/>
      <x:c r="L580" s="12"/>
      <x:c r="M580" s="12"/>
      <x:c r="N580" s="15" t="n">
        <x:f>IF(OR(L580="Operating",L580="Investing",L580="Financing"),C580,0)</x:f>
        <x:v>0</x:v>
      </x:c>
      <x:c r="O580" s="12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>
      <x:c r="A581" s="1"/>
      <x:c r="B581" s="1"/>
      <x:c r="C581" s="14"/>
      <x:c r="D581" s="14"/>
      <x:c r="E581" s="14"/>
      <x:c r="F581" s="14"/>
      <x:c r="G581" s="14"/>
      <x:c r="H581" s="14"/>
      <x:c r="I581" s="14"/>
      <x:c r="J581" s="14"/>
      <x:c r="K581" s="14"/>
      <x:c r="L581" s="12"/>
      <x:c r="M581" s="12"/>
      <x:c r="N581" s="15" t="n">
        <x:f>IF(OR(L581="Operating",L581="Investing",L581="Financing"),C581,0)</x:f>
        <x:v>0</x:v>
      </x:c>
      <x:c r="O581" s="12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>
      <x:c r="A582" s="1"/>
      <x:c r="B582" s="1"/>
      <x:c r="C582" s="14"/>
      <x:c r="D582" s="14"/>
      <x:c r="E582" s="14"/>
      <x:c r="F582" s="14"/>
      <x:c r="G582" s="14"/>
      <x:c r="H582" s="14"/>
      <x:c r="I582" s="14"/>
      <x:c r="J582" s="14"/>
      <x:c r="K582" s="14"/>
      <x:c r="L582" s="12"/>
      <x:c r="M582" s="12"/>
      <x:c r="N582" s="15" t="n">
        <x:f>IF(OR(L582="Operating",L582="Investing",L582="Financing"),C582,0)</x:f>
        <x:v>0</x:v>
      </x:c>
      <x:c r="O582" s="12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>
      <x:c r="A583" s="1"/>
      <x:c r="B583" s="1"/>
      <x:c r="C583" s="14"/>
      <x:c r="D583" s="14"/>
      <x:c r="E583" s="14"/>
      <x:c r="F583" s="14"/>
      <x:c r="G583" s="14"/>
      <x:c r="H583" s="14"/>
      <x:c r="I583" s="14"/>
      <x:c r="J583" s="14"/>
      <x:c r="K583" s="14"/>
      <x:c r="L583" s="12"/>
      <x:c r="M583" s="12"/>
      <x:c r="N583" s="15" t="n">
        <x:f>IF(OR(L583="Operating",L583="Investing",L583="Financing"),C583,0)</x:f>
        <x:v>0</x:v>
      </x:c>
      <x:c r="O583" s="12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>
      <x:c r="A584" s="1"/>
      <x:c r="B584" s="1"/>
      <x:c r="C584" s="14"/>
      <x:c r="D584" s="14"/>
      <x:c r="E584" s="14"/>
      <x:c r="F584" s="14"/>
      <x:c r="G584" s="14"/>
      <x:c r="H584" s="14"/>
      <x:c r="I584" s="14"/>
      <x:c r="J584" s="14"/>
      <x:c r="K584" s="14"/>
      <x:c r="L584" s="12"/>
      <x:c r="M584" s="12"/>
      <x:c r="N584" s="15" t="n">
        <x:f>IF(OR(L584="Operating",L584="Investing",L584="Financing"),C584,0)</x:f>
        <x:v>0</x:v>
      </x:c>
      <x:c r="O584" s="12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>
      <x:c r="A585" s="1"/>
      <x:c r="B585" s="1"/>
      <x:c r="C585" s="14"/>
      <x:c r="D585" s="14"/>
      <x:c r="E585" s="14"/>
      <x:c r="F585" s="14"/>
      <x:c r="G585" s="14"/>
      <x:c r="H585" s="14"/>
      <x:c r="I585" s="14"/>
      <x:c r="J585" s="14"/>
      <x:c r="K585" s="14"/>
      <x:c r="L585" s="12"/>
      <x:c r="M585" s="12"/>
      <x:c r="N585" s="15" t="n">
        <x:f>IF(OR(L585="Operating",L585="Investing",L585="Financing"),C585,0)</x:f>
        <x:v>0</x:v>
      </x:c>
      <x:c r="O585" s="12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>
      <x:c r="A586" s="1"/>
      <x:c r="B586" s="1"/>
      <x:c r="C586" s="14"/>
      <x:c r="D586" s="14"/>
      <x:c r="E586" s="14"/>
      <x:c r="F586" s="14"/>
      <x:c r="G586" s="14"/>
      <x:c r="H586" s="14"/>
      <x:c r="I586" s="14"/>
      <x:c r="J586" s="14"/>
      <x:c r="K586" s="14"/>
      <x:c r="L586" s="12"/>
      <x:c r="M586" s="12"/>
      <x:c r="N586" s="15" t="n">
        <x:f>IF(OR(L586="Operating",L586="Investing",L586="Financing"),C586,0)</x:f>
        <x:v>0</x:v>
      </x:c>
      <x:c r="O586" s="12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>
      <x:c r="A587" s="1"/>
      <x:c r="B587" s="1"/>
      <x:c r="C587" s="14"/>
      <x:c r="D587" s="14"/>
      <x:c r="E587" s="14"/>
      <x:c r="F587" s="14"/>
      <x:c r="G587" s="14"/>
      <x:c r="H587" s="14"/>
      <x:c r="I587" s="14"/>
      <x:c r="J587" s="14"/>
      <x:c r="K587" s="14"/>
      <x:c r="L587" s="12"/>
      <x:c r="M587" s="12"/>
      <x:c r="N587" s="15" t="n">
        <x:f>IF(OR(L587="Operating",L587="Investing",L587="Financing"),C587,0)</x:f>
        <x:v>0</x:v>
      </x:c>
      <x:c r="O587" s="12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>
      <x:c r="A588" s="1"/>
      <x:c r="B588" s="1"/>
      <x:c r="C588" s="14"/>
      <x:c r="D588" s="14"/>
      <x:c r="E588" s="14"/>
      <x:c r="F588" s="14"/>
      <x:c r="G588" s="14"/>
      <x:c r="H588" s="14"/>
      <x:c r="I588" s="14"/>
      <x:c r="J588" s="14"/>
      <x:c r="K588" s="14"/>
      <x:c r="L588" s="12"/>
      <x:c r="M588" s="12"/>
      <x:c r="N588" s="15" t="n">
        <x:f>IF(OR(L588="Operating",L588="Investing",L588="Financing"),C588,0)</x:f>
        <x:v>0</x:v>
      </x:c>
      <x:c r="O588" s="12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>
      <x:c r="A589" s="1"/>
      <x:c r="B589" s="1"/>
      <x:c r="C589" s="14"/>
      <x:c r="D589" s="14"/>
      <x:c r="E589" s="14"/>
      <x:c r="F589" s="14"/>
      <x:c r="G589" s="14"/>
      <x:c r="H589" s="14"/>
      <x:c r="I589" s="14"/>
      <x:c r="J589" s="14"/>
      <x:c r="K589" s="14"/>
      <x:c r="L589" s="12"/>
      <x:c r="M589" s="12"/>
      <x:c r="N589" s="15" t="n">
        <x:f>IF(OR(L589="Operating",L589="Investing",L589="Financing"),C589,0)</x:f>
        <x:v>0</x:v>
      </x:c>
      <x:c r="O589" s="12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>
      <x:c r="A590" s="1"/>
      <x:c r="B590" s="1"/>
      <x:c r="C590" s="14"/>
      <x:c r="D590" s="14"/>
      <x:c r="E590" s="14"/>
      <x:c r="F590" s="14"/>
      <x:c r="G590" s="14"/>
      <x:c r="H590" s="14"/>
      <x:c r="I590" s="14"/>
      <x:c r="J590" s="14"/>
      <x:c r="K590" s="14"/>
      <x:c r="L590" s="12"/>
      <x:c r="M590" s="12"/>
      <x:c r="N590" s="15" t="n">
        <x:f>IF(OR(L590="Operating",L590="Investing",L590="Financing"),C590,0)</x:f>
        <x:v>0</x:v>
      </x:c>
      <x:c r="O590" s="12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>
      <x:c r="A591" s="1"/>
      <x:c r="B591" s="1"/>
      <x:c r="C591" s="14"/>
      <x:c r="D591" s="14"/>
      <x:c r="E591" s="14"/>
      <x:c r="F591" s="14"/>
      <x:c r="G591" s="14"/>
      <x:c r="H591" s="14"/>
      <x:c r="I591" s="14"/>
      <x:c r="J591" s="14"/>
      <x:c r="K591" s="14"/>
      <x:c r="L591" s="12"/>
      <x:c r="M591" s="12"/>
      <x:c r="N591" s="15" t="n">
        <x:f>IF(OR(L591="Operating",L591="Investing",L591="Financing"),C591,0)</x:f>
        <x:v>0</x:v>
      </x:c>
      <x:c r="O591" s="12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>
      <x:c r="A592" s="1"/>
      <x:c r="B592" s="1"/>
      <x:c r="C592" s="14"/>
      <x:c r="D592" s="14"/>
      <x:c r="E592" s="14"/>
      <x:c r="F592" s="14"/>
      <x:c r="G592" s="14"/>
      <x:c r="H592" s="14"/>
      <x:c r="I592" s="14"/>
      <x:c r="J592" s="14"/>
      <x:c r="K592" s="14"/>
      <x:c r="L592" s="12"/>
      <x:c r="M592" s="12"/>
      <x:c r="N592" s="15" t="n">
        <x:f>IF(OR(L592="Operating",L592="Investing",L592="Financing"),C592,0)</x:f>
        <x:v>0</x:v>
      </x:c>
      <x:c r="O592" s="12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>
      <x:c r="A593" s="1"/>
      <x:c r="B593" s="1"/>
      <x:c r="C593" s="14"/>
      <x:c r="D593" s="14"/>
      <x:c r="E593" s="14"/>
      <x:c r="F593" s="14"/>
      <x:c r="G593" s="14"/>
      <x:c r="H593" s="14"/>
      <x:c r="I593" s="14"/>
      <x:c r="J593" s="14"/>
      <x:c r="K593" s="14"/>
      <x:c r="L593" s="12"/>
      <x:c r="M593" s="12"/>
      <x:c r="N593" s="15" t="n">
        <x:f>IF(OR(L593="Operating",L593="Investing",L593="Financing"),C593,0)</x:f>
        <x:v>0</x:v>
      </x:c>
      <x:c r="O593" s="12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>
      <x:c r="A594" s="1"/>
      <x:c r="B594" s="1"/>
      <x:c r="C594" s="14"/>
      <x:c r="D594" s="14"/>
      <x:c r="E594" s="14"/>
      <x:c r="F594" s="14"/>
      <x:c r="G594" s="14"/>
      <x:c r="H594" s="14"/>
      <x:c r="I594" s="14"/>
      <x:c r="J594" s="14"/>
      <x:c r="K594" s="14"/>
      <x:c r="L594" s="12"/>
      <x:c r="M594" s="12"/>
      <x:c r="N594" s="15" t="n">
        <x:f>IF(OR(L594="Operating",L594="Investing",L594="Financing"),C594,0)</x:f>
        <x:v>0</x:v>
      </x:c>
      <x:c r="O594" s="12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>
      <x:c r="A595" s="1"/>
      <x:c r="B595" s="1"/>
      <x:c r="C595" s="14"/>
      <x:c r="D595" s="14"/>
      <x:c r="E595" s="14"/>
      <x:c r="F595" s="14"/>
      <x:c r="G595" s="14"/>
      <x:c r="H595" s="14"/>
      <x:c r="I595" s="14"/>
      <x:c r="J595" s="14"/>
      <x:c r="K595" s="14"/>
      <x:c r="L595" s="12"/>
      <x:c r="M595" s="12"/>
      <x:c r="N595" s="15" t="n">
        <x:f>IF(OR(L595="Operating",L595="Investing",L595="Financing"),C595,0)</x:f>
        <x:v>0</x:v>
      </x:c>
      <x:c r="O595" s="12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>
      <x:c r="A596" s="1"/>
      <x:c r="B596" s="1"/>
      <x:c r="C596" s="14"/>
      <x:c r="D596" s="14"/>
      <x:c r="E596" s="14"/>
      <x:c r="F596" s="14"/>
      <x:c r="G596" s="14"/>
      <x:c r="H596" s="14"/>
      <x:c r="I596" s="14"/>
      <x:c r="J596" s="14"/>
      <x:c r="K596" s="14"/>
      <x:c r="L596" s="12"/>
      <x:c r="M596" s="12"/>
      <x:c r="N596" s="15" t="n">
        <x:f>IF(OR(L596="Operating",L596="Investing",L596="Financing"),C596,0)</x:f>
        <x:v>0</x:v>
      </x:c>
      <x:c r="O596" s="12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>
      <x:c r="A597" s="1"/>
      <x:c r="B597" s="1"/>
      <x:c r="C597" s="14"/>
      <x:c r="D597" s="14"/>
      <x:c r="E597" s="14"/>
      <x:c r="F597" s="14"/>
      <x:c r="G597" s="14"/>
      <x:c r="H597" s="14"/>
      <x:c r="I597" s="14"/>
      <x:c r="J597" s="14"/>
      <x:c r="K597" s="14"/>
      <x:c r="L597" s="12"/>
      <x:c r="M597" s="12"/>
      <x:c r="N597" s="15" t="n">
        <x:f>IF(OR(L597="Operating",L597="Investing",L597="Financing"),C597,0)</x:f>
        <x:v>0</x:v>
      </x:c>
      <x:c r="O597" s="12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>
      <x:c r="A598" s="1"/>
      <x:c r="B598" s="1"/>
      <x:c r="C598" s="14"/>
      <x:c r="D598" s="14"/>
      <x:c r="E598" s="14"/>
      <x:c r="F598" s="14"/>
      <x:c r="G598" s="14"/>
      <x:c r="H598" s="14"/>
      <x:c r="I598" s="14"/>
      <x:c r="J598" s="14"/>
      <x:c r="K598" s="14"/>
      <x:c r="L598" s="12"/>
      <x:c r="M598" s="12"/>
      <x:c r="N598" s="15" t="n">
        <x:f>IF(OR(L598="Operating",L598="Investing",L598="Financing"),C598,0)</x:f>
        <x:v>0</x:v>
      </x:c>
      <x:c r="O598" s="12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>
      <x:c r="A599" s="1"/>
      <x:c r="B599" s="1"/>
      <x:c r="C599" s="14"/>
      <x:c r="D599" s="14"/>
      <x:c r="E599" s="14"/>
      <x:c r="F599" s="14"/>
      <x:c r="G599" s="14"/>
      <x:c r="H599" s="14"/>
      <x:c r="I599" s="14"/>
      <x:c r="J599" s="14"/>
      <x:c r="K599" s="14"/>
      <x:c r="L599" s="12"/>
      <x:c r="M599" s="12"/>
      <x:c r="N599" s="15" t="n">
        <x:f>IF(OR(L599="Operating",L599="Investing",L599="Financing"),C599,0)</x:f>
        <x:v>0</x:v>
      </x:c>
      <x:c r="O599" s="12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>
      <x:c r="A600" s="1"/>
      <x:c r="B600" s="1"/>
      <x:c r="C600" s="14"/>
      <x:c r="D600" s="14"/>
      <x:c r="E600" s="14"/>
      <x:c r="F600" s="14"/>
      <x:c r="G600" s="14"/>
      <x:c r="H600" s="14"/>
      <x:c r="I600" s="14"/>
      <x:c r="J600" s="14"/>
      <x:c r="K600" s="14"/>
      <x:c r="L600" s="12"/>
      <x:c r="M600" s="12"/>
      <x:c r="N600" s="15" t="n">
        <x:f>IF(OR(L600="Operating",L600="Investing",L600="Financing"),C600,0)</x:f>
        <x:v>0</x:v>
      </x:c>
      <x:c r="O600" s="12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>
      <x:c r="A601" s="1"/>
      <x:c r="B601" s="1"/>
      <x:c r="C601" s="14"/>
      <x:c r="D601" s="14"/>
      <x:c r="E601" s="14"/>
      <x:c r="F601" s="14"/>
      <x:c r="G601" s="14"/>
      <x:c r="H601" s="14"/>
      <x:c r="I601" s="14"/>
      <x:c r="J601" s="14"/>
      <x:c r="K601" s="14"/>
      <x:c r="L601" s="12"/>
      <x:c r="M601" s="12"/>
      <x:c r="N601" s="15" t="n">
        <x:f>IF(OR(L601="Operating",L601="Investing",L601="Financing"),C601,0)</x:f>
        <x:v>0</x:v>
      </x:c>
      <x:c r="O601" s="12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>
      <x:c r="A602" s="1"/>
      <x:c r="B602" s="1"/>
      <x:c r="C602" s="14"/>
      <x:c r="D602" s="14"/>
      <x:c r="E602" s="14"/>
      <x:c r="F602" s="14"/>
      <x:c r="G602" s="14"/>
      <x:c r="H602" s="14"/>
      <x:c r="I602" s="14"/>
      <x:c r="J602" s="14"/>
      <x:c r="K602" s="14"/>
      <x:c r="L602" s="12"/>
      <x:c r="M602" s="12"/>
      <x:c r="N602" s="15" t="n">
        <x:f>IF(OR(L602="Operating",L602="Investing",L602="Financing"),C602,0)</x:f>
        <x:v>0</x:v>
      </x:c>
      <x:c r="O602" s="12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>
      <x:c r="A603" s="1"/>
      <x:c r="B603" s="1"/>
      <x:c r="C603" s="14"/>
      <x:c r="D603" s="14"/>
      <x:c r="E603" s="14"/>
      <x:c r="F603" s="14"/>
      <x:c r="G603" s="14"/>
      <x:c r="H603" s="14"/>
      <x:c r="I603" s="14"/>
      <x:c r="J603" s="14"/>
      <x:c r="K603" s="14"/>
      <x:c r="L603" s="12"/>
      <x:c r="M603" s="12"/>
      <x:c r="N603" s="15" t="n">
        <x:f>IF(OR(L603="Operating",L603="Investing",L603="Financing"),C603,0)</x:f>
        <x:v>0</x:v>
      </x:c>
      <x:c r="O603" s="12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>
      <x:c r="A604" s="1"/>
      <x:c r="B604" s="1"/>
      <x:c r="C604" s="14"/>
      <x:c r="D604" s="14"/>
      <x:c r="E604" s="14"/>
      <x:c r="F604" s="14"/>
      <x:c r="G604" s="14"/>
      <x:c r="H604" s="14"/>
      <x:c r="I604" s="14"/>
      <x:c r="J604" s="14"/>
      <x:c r="K604" s="14"/>
      <x:c r="L604" s="12"/>
      <x:c r="M604" s="12"/>
      <x:c r="N604" s="15" t="n">
        <x:f>IF(OR(L604="Operating",L604="Investing",L604="Financing"),C604,0)</x:f>
        <x:v>0</x:v>
      </x:c>
      <x:c r="O604" s="12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>
      <x:c r="A605" s="1"/>
      <x:c r="B605" s="1"/>
      <x:c r="C605" s="14"/>
      <x:c r="D605" s="14"/>
      <x:c r="E605" s="14"/>
      <x:c r="F605" s="14"/>
      <x:c r="G605" s="14"/>
      <x:c r="H605" s="14"/>
      <x:c r="I605" s="14"/>
      <x:c r="J605" s="14"/>
      <x:c r="K605" s="14"/>
      <x:c r="L605" s="12"/>
      <x:c r="M605" s="12"/>
      <x:c r="N605" s="15" t="n">
        <x:f>IF(OR(L605="Operating",L605="Investing",L605="Financing"),C605,0)</x:f>
        <x:v>0</x:v>
      </x:c>
      <x:c r="O605" s="12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>
      <x:c r="A606" s="1"/>
      <x:c r="B606" s="1"/>
      <x:c r="C606" s="14"/>
      <x:c r="D606" s="14"/>
      <x:c r="E606" s="14"/>
      <x:c r="F606" s="14"/>
      <x:c r="G606" s="14"/>
      <x:c r="H606" s="14"/>
      <x:c r="I606" s="14"/>
      <x:c r="J606" s="14"/>
      <x:c r="K606" s="14"/>
      <x:c r="L606" s="12"/>
      <x:c r="M606" s="12"/>
      <x:c r="N606" s="15" t="n">
        <x:f>IF(OR(L606="Operating",L606="Investing",L606="Financing"),C606,0)</x:f>
        <x:v>0</x:v>
      </x:c>
      <x:c r="O606" s="12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>
      <x:c r="A607" s="1"/>
      <x:c r="B607" s="1"/>
      <x:c r="C607" s="14"/>
      <x:c r="D607" s="14"/>
      <x:c r="E607" s="14"/>
      <x:c r="F607" s="14"/>
      <x:c r="G607" s="14"/>
      <x:c r="H607" s="14"/>
      <x:c r="I607" s="14"/>
      <x:c r="J607" s="14"/>
      <x:c r="K607" s="14"/>
      <x:c r="L607" s="12"/>
      <x:c r="M607" s="12"/>
      <x:c r="N607" s="15" t="n">
        <x:f>IF(OR(L607="Operating",L607="Investing",L607="Financing"),C607,0)</x:f>
        <x:v>0</x:v>
      </x:c>
      <x:c r="O607" s="12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>
      <x:c r="A608" s="1"/>
      <x:c r="B608" s="1"/>
      <x:c r="C608" s="14"/>
      <x:c r="D608" s="14"/>
      <x:c r="E608" s="14"/>
      <x:c r="F608" s="14"/>
      <x:c r="G608" s="14"/>
      <x:c r="H608" s="14"/>
      <x:c r="I608" s="14"/>
      <x:c r="J608" s="14"/>
      <x:c r="K608" s="14"/>
      <x:c r="L608" s="12"/>
      <x:c r="M608" s="12"/>
      <x:c r="N608" s="15" t="n">
        <x:f>IF(OR(L608="Operating",L608="Investing",L608="Financing"),C608,0)</x:f>
        <x:v>0</x:v>
      </x:c>
      <x:c r="O608" s="12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>
      <x:c r="A609" s="1"/>
      <x:c r="B609" s="1"/>
      <x:c r="C609" s="14"/>
      <x:c r="D609" s="14"/>
      <x:c r="E609" s="14"/>
      <x:c r="F609" s="14"/>
      <x:c r="G609" s="14"/>
      <x:c r="H609" s="14"/>
      <x:c r="I609" s="14"/>
      <x:c r="J609" s="14"/>
      <x:c r="K609" s="14"/>
      <x:c r="L609" s="12"/>
      <x:c r="M609" s="12"/>
      <x:c r="N609" s="15" t="n">
        <x:f>IF(OR(L609="Operating",L609="Investing",L609="Financing"),C609,0)</x:f>
        <x:v>0</x:v>
      </x:c>
      <x:c r="O609" s="12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>
      <x:c r="A610" s="1"/>
      <x:c r="B610" s="1"/>
      <x:c r="C610" s="14"/>
      <x:c r="D610" s="14"/>
      <x:c r="E610" s="14"/>
      <x:c r="F610" s="14"/>
      <x:c r="G610" s="14"/>
      <x:c r="H610" s="14"/>
      <x:c r="I610" s="14"/>
      <x:c r="J610" s="14"/>
      <x:c r="K610" s="14"/>
      <x:c r="L610" s="12"/>
      <x:c r="M610" s="12"/>
      <x:c r="N610" s="15" t="n">
        <x:f>IF(OR(L610="Operating",L610="Investing",L610="Financing"),C610,0)</x:f>
        <x:v>0</x:v>
      </x:c>
      <x:c r="O610" s="12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>
      <x:c r="A611" s="1"/>
      <x:c r="B611" s="1"/>
      <x:c r="C611" s="14"/>
      <x:c r="D611" s="14"/>
      <x:c r="E611" s="14"/>
      <x:c r="F611" s="14"/>
      <x:c r="G611" s="14"/>
      <x:c r="H611" s="14"/>
      <x:c r="I611" s="14"/>
      <x:c r="J611" s="14"/>
      <x:c r="K611" s="14"/>
      <x:c r="L611" s="12"/>
      <x:c r="M611" s="12"/>
      <x:c r="N611" s="15" t="n">
        <x:f>IF(OR(L611="Operating",L611="Investing",L611="Financing"),C611,0)</x:f>
        <x:v>0</x:v>
      </x:c>
      <x:c r="O611" s="12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>
      <x:c r="A612" s="1"/>
      <x:c r="B612" s="1"/>
      <x:c r="C612" s="14"/>
      <x:c r="D612" s="14"/>
      <x:c r="E612" s="14"/>
      <x:c r="F612" s="14"/>
      <x:c r="G612" s="14"/>
      <x:c r="H612" s="14"/>
      <x:c r="I612" s="14"/>
      <x:c r="J612" s="14"/>
      <x:c r="K612" s="14"/>
      <x:c r="L612" s="12"/>
      <x:c r="M612" s="12"/>
      <x:c r="N612" s="15" t="n">
        <x:f>IF(OR(L612="Operating",L612="Investing",L612="Financing"),C612,0)</x:f>
        <x:v>0</x:v>
      </x:c>
      <x:c r="O612" s="12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>
      <x:c r="A613" s="1"/>
      <x:c r="B613" s="1"/>
      <x:c r="C613" s="14"/>
      <x:c r="D613" s="14"/>
      <x:c r="E613" s="14"/>
      <x:c r="F613" s="14"/>
      <x:c r="G613" s="14"/>
      <x:c r="H613" s="14"/>
      <x:c r="I613" s="14"/>
      <x:c r="J613" s="14"/>
      <x:c r="K613" s="14"/>
      <x:c r="L613" s="12"/>
      <x:c r="M613" s="12"/>
      <x:c r="N613" s="15" t="n">
        <x:f>IF(OR(L613="Operating",L613="Investing",L613="Financing"),C613,0)</x:f>
        <x:v>0</x:v>
      </x:c>
      <x:c r="O613" s="12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>
      <x:c r="A614" s="1"/>
      <x:c r="B614" s="1"/>
      <x:c r="C614" s="14"/>
      <x:c r="D614" s="14"/>
      <x:c r="E614" s="14"/>
      <x:c r="F614" s="14"/>
      <x:c r="G614" s="14"/>
      <x:c r="H614" s="14"/>
      <x:c r="I614" s="14"/>
      <x:c r="J614" s="14"/>
      <x:c r="K614" s="14"/>
      <x:c r="L614" s="12"/>
      <x:c r="M614" s="12"/>
      <x:c r="N614" s="15" t="n">
        <x:f>IF(OR(L614="Operating",L614="Investing",L614="Financing"),C614,0)</x:f>
        <x:v>0</x:v>
      </x:c>
      <x:c r="O614" s="12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>
      <x:c r="A615" s="1"/>
      <x:c r="B615" s="1"/>
      <x:c r="C615" s="14"/>
      <x:c r="D615" s="14"/>
      <x:c r="E615" s="14"/>
      <x:c r="F615" s="14"/>
      <x:c r="G615" s="14"/>
      <x:c r="H615" s="14"/>
      <x:c r="I615" s="14"/>
      <x:c r="J615" s="14"/>
      <x:c r="K615" s="14"/>
      <x:c r="L615" s="12"/>
      <x:c r="M615" s="12"/>
      <x:c r="N615" s="15" t="n">
        <x:f>IF(OR(L615="Operating",L615="Investing",L615="Financing"),C615,0)</x:f>
        <x:v>0</x:v>
      </x:c>
      <x:c r="O615" s="12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>
      <x:c r="A616" s="1"/>
      <x:c r="B616" s="1"/>
      <x:c r="C616" s="14"/>
      <x:c r="D616" s="14"/>
      <x:c r="E616" s="14"/>
      <x:c r="F616" s="14"/>
      <x:c r="G616" s="14"/>
      <x:c r="H616" s="14"/>
      <x:c r="I616" s="14"/>
      <x:c r="J616" s="14"/>
      <x:c r="K616" s="14"/>
      <x:c r="L616" s="12"/>
      <x:c r="M616" s="12"/>
      <x:c r="N616" s="15" t="n">
        <x:f>IF(OR(L616="Operating",L616="Investing",L616="Financing"),C616,0)</x:f>
        <x:v>0</x:v>
      </x:c>
      <x:c r="O616" s="12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>
      <x:c r="A617" s="1"/>
      <x:c r="B617" s="1"/>
      <x:c r="C617" s="14"/>
      <x:c r="D617" s="14"/>
      <x:c r="E617" s="14"/>
      <x:c r="F617" s="14"/>
      <x:c r="G617" s="14"/>
      <x:c r="H617" s="14"/>
      <x:c r="I617" s="14"/>
      <x:c r="J617" s="14"/>
      <x:c r="K617" s="14"/>
      <x:c r="L617" s="12"/>
      <x:c r="M617" s="12"/>
      <x:c r="N617" s="15" t="n">
        <x:f>IF(OR(L617="Operating",L617="Investing",L617="Financing"),C617,0)</x:f>
        <x:v>0</x:v>
      </x:c>
      <x:c r="O617" s="12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>
      <x:c r="A618" s="1"/>
      <x:c r="B618" s="1"/>
      <x:c r="C618" s="14"/>
      <x:c r="D618" s="14"/>
      <x:c r="E618" s="14"/>
      <x:c r="F618" s="14"/>
      <x:c r="G618" s="14"/>
      <x:c r="H618" s="14"/>
      <x:c r="I618" s="14"/>
      <x:c r="J618" s="14"/>
      <x:c r="K618" s="14"/>
      <x:c r="L618" s="12"/>
      <x:c r="M618" s="12"/>
      <x:c r="N618" s="15" t="n">
        <x:f>IF(OR(L618="Operating",L618="Investing",L618="Financing"),C618,0)</x:f>
        <x:v>0</x:v>
      </x:c>
      <x:c r="O618" s="12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>
      <x:c r="A619" s="1"/>
      <x:c r="B619" s="1"/>
      <x:c r="C619" s="14"/>
      <x:c r="D619" s="14"/>
      <x:c r="E619" s="14"/>
      <x:c r="F619" s="14"/>
      <x:c r="G619" s="14"/>
      <x:c r="H619" s="14"/>
      <x:c r="I619" s="14"/>
      <x:c r="J619" s="14"/>
      <x:c r="K619" s="14"/>
      <x:c r="L619" s="12"/>
      <x:c r="M619" s="12"/>
      <x:c r="N619" s="15" t="n">
        <x:f>IF(OR(L619="Operating",L619="Investing",L619="Financing"),C619,0)</x:f>
        <x:v>0</x:v>
      </x:c>
      <x:c r="O619" s="12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>
      <x:c r="A620" s="1"/>
      <x:c r="B620" s="1"/>
      <x:c r="C620" s="14"/>
      <x:c r="D620" s="14"/>
      <x:c r="E620" s="14"/>
      <x:c r="F620" s="14"/>
      <x:c r="G620" s="14"/>
      <x:c r="H620" s="14"/>
      <x:c r="I620" s="14"/>
      <x:c r="J620" s="14"/>
      <x:c r="K620" s="14"/>
      <x:c r="L620" s="12"/>
      <x:c r="M620" s="12"/>
      <x:c r="N620" s="15" t="n">
        <x:f>IF(OR(L620="Operating",L620="Investing",L620="Financing"),C620,0)</x:f>
        <x:v>0</x:v>
      </x:c>
      <x:c r="O620" s="12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>
      <x:c r="A621" s="1"/>
      <x:c r="B621" s="1"/>
      <x:c r="C621" s="14"/>
      <x:c r="D621" s="14"/>
      <x:c r="E621" s="14"/>
      <x:c r="F621" s="14"/>
      <x:c r="G621" s="14"/>
      <x:c r="H621" s="14"/>
      <x:c r="I621" s="14"/>
      <x:c r="J621" s="14"/>
      <x:c r="K621" s="14"/>
      <x:c r="L621" s="12"/>
      <x:c r="M621" s="12"/>
      <x:c r="N621" s="15" t="n">
        <x:f>IF(OR(L621="Operating",L621="Investing",L621="Financing"),C621,0)</x:f>
        <x:v>0</x:v>
      </x:c>
      <x:c r="O621" s="12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>
      <x:c r="A622" s="1"/>
      <x:c r="B622" s="1"/>
      <x:c r="C622" s="14"/>
      <x:c r="D622" s="14"/>
      <x:c r="E622" s="14"/>
      <x:c r="F622" s="14"/>
      <x:c r="G622" s="14"/>
      <x:c r="H622" s="14"/>
      <x:c r="I622" s="14"/>
      <x:c r="J622" s="14"/>
      <x:c r="K622" s="14"/>
      <x:c r="L622" s="12"/>
      <x:c r="M622" s="12"/>
      <x:c r="N622" s="15" t="n">
        <x:f>IF(OR(L622="Operating",L622="Investing",L622="Financing"),C622,0)</x:f>
        <x:v>0</x:v>
      </x:c>
      <x:c r="O622" s="12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>
      <x:c r="A623" s="1"/>
      <x:c r="B623" s="1"/>
      <x:c r="C623" s="14"/>
      <x:c r="D623" s="14"/>
      <x:c r="E623" s="14"/>
      <x:c r="F623" s="14"/>
      <x:c r="G623" s="14"/>
      <x:c r="H623" s="14"/>
      <x:c r="I623" s="14"/>
      <x:c r="J623" s="14"/>
      <x:c r="K623" s="14"/>
      <x:c r="L623" s="12"/>
      <x:c r="M623" s="12"/>
      <x:c r="N623" s="15" t="n">
        <x:f>IF(OR(L623="Operating",L623="Investing",L623="Financing"),C623,0)</x:f>
        <x:v>0</x:v>
      </x:c>
      <x:c r="O623" s="12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>
      <x:c r="A624" s="1"/>
      <x:c r="B624" s="1"/>
      <x:c r="C624" s="14"/>
      <x:c r="D624" s="14"/>
      <x:c r="E624" s="14"/>
      <x:c r="F624" s="14"/>
      <x:c r="G624" s="14"/>
      <x:c r="H624" s="14"/>
      <x:c r="I624" s="14"/>
      <x:c r="J624" s="14"/>
      <x:c r="K624" s="14"/>
      <x:c r="L624" s="12"/>
      <x:c r="M624" s="12"/>
      <x:c r="N624" s="15" t="n">
        <x:f>IF(OR(L624="Operating",L624="Investing",L624="Financing"),C624,0)</x:f>
        <x:v>0</x:v>
      </x:c>
      <x:c r="O624" s="12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>
      <x:c r="A625" s="1"/>
      <x:c r="B625" s="1"/>
      <x:c r="C625" s="14"/>
      <x:c r="D625" s="14"/>
      <x:c r="E625" s="14"/>
      <x:c r="F625" s="14"/>
      <x:c r="G625" s="14"/>
      <x:c r="H625" s="14"/>
      <x:c r="I625" s="14"/>
      <x:c r="J625" s="14"/>
      <x:c r="K625" s="14"/>
      <x:c r="L625" s="12"/>
      <x:c r="M625" s="12"/>
      <x:c r="N625" s="15" t="n">
        <x:f>IF(OR(L625="Operating",L625="Investing",L625="Financing"),C625,0)</x:f>
        <x:v>0</x:v>
      </x:c>
      <x:c r="O625" s="12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>
      <x:c r="A626" s="1"/>
      <x:c r="B626" s="1"/>
      <x:c r="C626" s="14"/>
      <x:c r="D626" s="14"/>
      <x:c r="E626" s="14"/>
      <x:c r="F626" s="14"/>
      <x:c r="G626" s="14"/>
      <x:c r="H626" s="14"/>
      <x:c r="I626" s="14"/>
      <x:c r="J626" s="14"/>
      <x:c r="K626" s="14"/>
      <x:c r="L626" s="12"/>
      <x:c r="M626" s="12"/>
      <x:c r="N626" s="15" t="n">
        <x:f>IF(OR(L626="Operating",L626="Investing",L626="Financing"),C626,0)</x:f>
        <x:v>0</x:v>
      </x:c>
      <x:c r="O626" s="12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>
      <x:c r="A627" s="1"/>
      <x:c r="B627" s="1"/>
      <x:c r="C627" s="14"/>
      <x:c r="D627" s="14"/>
      <x:c r="E627" s="14"/>
      <x:c r="F627" s="14"/>
      <x:c r="G627" s="14"/>
      <x:c r="H627" s="14"/>
      <x:c r="I627" s="14"/>
      <x:c r="J627" s="14"/>
      <x:c r="K627" s="14"/>
      <x:c r="L627" s="12"/>
      <x:c r="M627" s="12"/>
      <x:c r="N627" s="15" t="n">
        <x:f>IF(OR(L627="Operating",L627="Investing",L627="Financing"),C627,0)</x:f>
        <x:v>0</x:v>
      </x:c>
      <x:c r="O627" s="12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>
      <x:c r="A628" s="1"/>
      <x:c r="B628" s="1"/>
      <x:c r="C628" s="14"/>
      <x:c r="D628" s="14"/>
      <x:c r="E628" s="14"/>
      <x:c r="F628" s="14"/>
      <x:c r="G628" s="14"/>
      <x:c r="H628" s="14"/>
      <x:c r="I628" s="14"/>
      <x:c r="J628" s="14"/>
      <x:c r="K628" s="14"/>
      <x:c r="L628" s="12"/>
      <x:c r="M628" s="12"/>
      <x:c r="N628" s="15" t="n">
        <x:f>IF(OR(L628="Operating",L628="Investing",L628="Financing"),C628,0)</x:f>
        <x:v>0</x:v>
      </x:c>
      <x:c r="O628" s="12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>
      <x:c r="A629" s="1"/>
      <x:c r="B629" s="1"/>
      <x:c r="C629" s="14"/>
      <x:c r="D629" s="14"/>
      <x:c r="E629" s="14"/>
      <x:c r="F629" s="14"/>
      <x:c r="G629" s="14"/>
      <x:c r="H629" s="14"/>
      <x:c r="I629" s="14"/>
      <x:c r="J629" s="14"/>
      <x:c r="K629" s="14"/>
      <x:c r="L629" s="12"/>
      <x:c r="M629" s="12"/>
      <x:c r="N629" s="15" t="n">
        <x:f>IF(OR(L629="Operating",L629="Investing",L629="Financing"),C629,0)</x:f>
        <x:v>0</x:v>
      </x:c>
      <x:c r="O629" s="12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>
      <x:c r="A630" s="1"/>
      <x:c r="B630" s="1"/>
      <x:c r="C630" s="14"/>
      <x:c r="D630" s="14"/>
      <x:c r="E630" s="14"/>
      <x:c r="F630" s="14"/>
      <x:c r="G630" s="14"/>
      <x:c r="H630" s="14"/>
      <x:c r="I630" s="14"/>
      <x:c r="J630" s="14"/>
      <x:c r="K630" s="14"/>
      <x:c r="L630" s="12"/>
      <x:c r="M630" s="12"/>
      <x:c r="N630" s="15" t="n">
        <x:f>IF(OR(L630="Operating",L630="Investing",L630="Financing"),C630,0)</x:f>
        <x:v>0</x:v>
      </x:c>
      <x:c r="O630" s="12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>
      <x:c r="A631" s="1"/>
      <x:c r="B631" s="1"/>
      <x:c r="C631" s="14"/>
      <x:c r="D631" s="14"/>
      <x:c r="E631" s="14"/>
      <x:c r="F631" s="14"/>
      <x:c r="G631" s="14"/>
      <x:c r="H631" s="14"/>
      <x:c r="I631" s="14"/>
      <x:c r="J631" s="14"/>
      <x:c r="K631" s="14"/>
      <x:c r="L631" s="12"/>
      <x:c r="M631" s="12"/>
      <x:c r="N631" s="15" t="n">
        <x:f>IF(OR(L631="Operating",L631="Investing",L631="Financing"),C631,0)</x:f>
        <x:v>0</x:v>
      </x:c>
      <x:c r="O631" s="12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>
      <x:c r="A632" s="1"/>
      <x:c r="B632" s="1"/>
      <x:c r="C632" s="14"/>
      <x:c r="D632" s="14"/>
      <x:c r="E632" s="14"/>
      <x:c r="F632" s="14"/>
      <x:c r="G632" s="14"/>
      <x:c r="H632" s="14"/>
      <x:c r="I632" s="14"/>
      <x:c r="J632" s="14"/>
      <x:c r="K632" s="14"/>
      <x:c r="L632" s="12"/>
      <x:c r="M632" s="12"/>
      <x:c r="N632" s="15" t="n">
        <x:f>IF(OR(L632="Operating",L632="Investing",L632="Financing"),C632,0)</x:f>
        <x:v>0</x:v>
      </x:c>
      <x:c r="O632" s="12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>
      <x:c r="A633" s="1"/>
      <x:c r="B633" s="1"/>
      <x:c r="C633" s="14"/>
      <x:c r="D633" s="14"/>
      <x:c r="E633" s="14"/>
      <x:c r="F633" s="14"/>
      <x:c r="G633" s="14"/>
      <x:c r="H633" s="14"/>
      <x:c r="I633" s="14"/>
      <x:c r="J633" s="14"/>
      <x:c r="K633" s="14"/>
      <x:c r="L633" s="12"/>
      <x:c r="M633" s="12"/>
      <x:c r="N633" s="15" t="n">
        <x:f>IF(OR(L633="Operating",L633="Investing",L633="Financing"),C633,0)</x:f>
        <x:v>0</x:v>
      </x:c>
      <x:c r="O633" s="12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>
      <x:c r="A634" s="1"/>
      <x:c r="B634" s="1"/>
      <x:c r="C634" s="14"/>
      <x:c r="D634" s="14"/>
      <x:c r="E634" s="14"/>
      <x:c r="F634" s="14"/>
      <x:c r="G634" s="14"/>
      <x:c r="H634" s="14"/>
      <x:c r="I634" s="14"/>
      <x:c r="J634" s="14"/>
      <x:c r="K634" s="14"/>
      <x:c r="L634" s="12"/>
      <x:c r="M634" s="12"/>
      <x:c r="N634" s="15" t="n">
        <x:f>IF(OR(L634="Operating",L634="Investing",L634="Financing"),C634,0)</x:f>
        <x:v>0</x:v>
      </x:c>
      <x:c r="O634" s="12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>
      <x:c r="A635" s="1"/>
      <x:c r="B635" s="1"/>
      <x:c r="C635" s="14"/>
      <x:c r="D635" s="14"/>
      <x:c r="E635" s="14"/>
      <x:c r="F635" s="14"/>
      <x:c r="G635" s="14"/>
      <x:c r="H635" s="14"/>
      <x:c r="I635" s="14"/>
      <x:c r="J635" s="14"/>
      <x:c r="K635" s="14"/>
      <x:c r="L635" s="12"/>
      <x:c r="M635" s="12"/>
      <x:c r="N635" s="15" t="n">
        <x:f>IF(OR(L635="Operating",L635="Investing",L635="Financing"),C635,0)</x:f>
        <x:v>0</x:v>
      </x:c>
      <x:c r="O635" s="12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>
      <x:c r="A636" s="1"/>
      <x:c r="B636" s="1"/>
      <x:c r="C636" s="14"/>
      <x:c r="D636" s="14"/>
      <x:c r="E636" s="14"/>
      <x:c r="F636" s="14"/>
      <x:c r="G636" s="14"/>
      <x:c r="H636" s="14"/>
      <x:c r="I636" s="14"/>
      <x:c r="J636" s="14"/>
      <x:c r="K636" s="14"/>
      <x:c r="L636" s="12"/>
      <x:c r="M636" s="12"/>
      <x:c r="N636" s="15" t="n">
        <x:f>IF(OR(L636="Operating",L636="Investing",L636="Financing"),C636,0)</x:f>
        <x:v>0</x:v>
      </x:c>
      <x:c r="O636" s="12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>
      <x:c r="A637" s="1"/>
      <x:c r="B637" s="1"/>
      <x:c r="C637" s="14"/>
      <x:c r="D637" s="14"/>
      <x:c r="E637" s="14"/>
      <x:c r="F637" s="14"/>
      <x:c r="G637" s="14"/>
      <x:c r="H637" s="14"/>
      <x:c r="I637" s="14"/>
      <x:c r="J637" s="14"/>
      <x:c r="K637" s="14"/>
      <x:c r="L637" s="12"/>
      <x:c r="M637" s="12"/>
      <x:c r="N637" s="15" t="n">
        <x:f>IF(OR(L637="Operating",L637="Investing",L637="Financing"),C637,0)</x:f>
        <x:v>0</x:v>
      </x:c>
      <x:c r="O637" s="12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>
      <x:c r="A638" s="1"/>
      <x:c r="B638" s="1"/>
      <x:c r="C638" s="14"/>
      <x:c r="D638" s="14"/>
      <x:c r="E638" s="14"/>
      <x:c r="F638" s="14"/>
      <x:c r="G638" s="14"/>
      <x:c r="H638" s="14"/>
      <x:c r="I638" s="14"/>
      <x:c r="J638" s="14"/>
      <x:c r="K638" s="14"/>
      <x:c r="L638" s="12"/>
      <x:c r="M638" s="12"/>
      <x:c r="N638" s="15" t="n">
        <x:f>IF(OR(L638="Operating",L638="Investing",L638="Financing"),C638,0)</x:f>
        <x:v>0</x:v>
      </x:c>
      <x:c r="O638" s="12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>
      <x:c r="A639" s="1"/>
      <x:c r="B639" s="1"/>
      <x:c r="C639" s="14"/>
      <x:c r="D639" s="14"/>
      <x:c r="E639" s="14"/>
      <x:c r="F639" s="14"/>
      <x:c r="G639" s="14"/>
      <x:c r="H639" s="14"/>
      <x:c r="I639" s="14"/>
      <x:c r="J639" s="14"/>
      <x:c r="K639" s="14"/>
      <x:c r="L639" s="12"/>
      <x:c r="M639" s="12"/>
      <x:c r="N639" s="15" t="n">
        <x:f>IF(OR(L639="Operating",L639="Investing",L639="Financing"),C639,0)</x:f>
        <x:v>0</x:v>
      </x:c>
      <x:c r="O639" s="12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>
      <x:c r="A640" s="1"/>
      <x:c r="B640" s="1"/>
      <x:c r="C640" s="14"/>
      <x:c r="D640" s="14"/>
      <x:c r="E640" s="14"/>
      <x:c r="F640" s="14"/>
      <x:c r="G640" s="14"/>
      <x:c r="H640" s="14"/>
      <x:c r="I640" s="14"/>
      <x:c r="J640" s="14"/>
      <x:c r="K640" s="14"/>
      <x:c r="L640" s="12"/>
      <x:c r="M640" s="12"/>
      <x:c r="N640" s="15" t="n">
        <x:f>IF(OR(L640="Operating",L640="Investing",L640="Financing"),C640,0)</x:f>
        <x:v>0</x:v>
      </x:c>
      <x:c r="O640" s="12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>
      <x:c r="A641" s="1"/>
      <x:c r="B641" s="1"/>
      <x:c r="C641" s="14"/>
      <x:c r="D641" s="14"/>
      <x:c r="E641" s="14"/>
      <x:c r="F641" s="14"/>
      <x:c r="G641" s="14"/>
      <x:c r="H641" s="14"/>
      <x:c r="I641" s="14"/>
      <x:c r="J641" s="14"/>
      <x:c r="K641" s="14"/>
      <x:c r="L641" s="12"/>
      <x:c r="M641" s="12"/>
      <x:c r="N641" s="15" t="n">
        <x:f>IF(OR(L641="Operating",L641="Investing",L641="Financing"),C641,0)</x:f>
        <x:v>0</x:v>
      </x:c>
      <x:c r="O641" s="12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>
      <x:c r="A642" s="1"/>
      <x:c r="B642" s="1"/>
      <x:c r="C642" s="14"/>
      <x:c r="D642" s="14"/>
      <x:c r="E642" s="14"/>
      <x:c r="F642" s="14"/>
      <x:c r="G642" s="14"/>
      <x:c r="H642" s="14"/>
      <x:c r="I642" s="14"/>
      <x:c r="J642" s="14"/>
      <x:c r="K642" s="14"/>
      <x:c r="L642" s="12"/>
      <x:c r="M642" s="12"/>
      <x:c r="N642" s="15" t="n">
        <x:f>IF(OR(L642="Operating",L642="Investing",L642="Financing"),C642,0)</x:f>
        <x:v>0</x:v>
      </x:c>
      <x:c r="O642" s="12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>
      <x:c r="A643" s="1"/>
      <x:c r="B643" s="1"/>
      <x:c r="C643" s="14"/>
      <x:c r="D643" s="14"/>
      <x:c r="E643" s="14"/>
      <x:c r="F643" s="14"/>
      <x:c r="G643" s="14"/>
      <x:c r="H643" s="14"/>
      <x:c r="I643" s="14"/>
      <x:c r="J643" s="14"/>
      <x:c r="K643" s="14"/>
      <x:c r="L643" s="12"/>
      <x:c r="M643" s="12"/>
      <x:c r="N643" s="15" t="n">
        <x:f>IF(OR(L643="Operating",L643="Investing",L643="Financing"),C643,0)</x:f>
        <x:v>0</x:v>
      </x:c>
      <x:c r="O643" s="12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>
      <x:c r="A644" s="1"/>
      <x:c r="B644" s="1"/>
      <x:c r="C644" s="14"/>
      <x:c r="D644" s="14"/>
      <x:c r="E644" s="14"/>
      <x:c r="F644" s="14"/>
      <x:c r="G644" s="14"/>
      <x:c r="H644" s="14"/>
      <x:c r="I644" s="14"/>
      <x:c r="J644" s="14"/>
      <x:c r="K644" s="14"/>
      <x:c r="L644" s="12"/>
      <x:c r="M644" s="12"/>
      <x:c r="N644" s="15" t="n">
        <x:f>IF(OR(L644="Operating",L644="Investing",L644="Financing"),C644,0)</x:f>
        <x:v>0</x:v>
      </x:c>
      <x:c r="O644" s="12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>
      <x:c r="A645" s="1"/>
      <x:c r="B645" s="1"/>
      <x:c r="C645" s="14"/>
      <x:c r="D645" s="14"/>
      <x:c r="E645" s="14"/>
      <x:c r="F645" s="14"/>
      <x:c r="G645" s="14"/>
      <x:c r="H645" s="14"/>
      <x:c r="I645" s="14"/>
      <x:c r="J645" s="14"/>
      <x:c r="K645" s="14"/>
      <x:c r="L645" s="12"/>
      <x:c r="M645" s="12"/>
      <x:c r="N645" s="15" t="n">
        <x:f>IF(OR(L645="Operating",L645="Investing",L645="Financing"),C645,0)</x:f>
        <x:v>0</x:v>
      </x:c>
      <x:c r="O645" s="12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>
      <x:c r="A646" s="1"/>
      <x:c r="B646" s="1"/>
      <x:c r="C646" s="14"/>
      <x:c r="D646" s="14"/>
      <x:c r="E646" s="14"/>
      <x:c r="F646" s="14"/>
      <x:c r="G646" s="14"/>
      <x:c r="H646" s="14"/>
      <x:c r="I646" s="14"/>
      <x:c r="J646" s="14"/>
      <x:c r="K646" s="14"/>
      <x:c r="L646" s="12"/>
      <x:c r="M646" s="12"/>
      <x:c r="N646" s="15" t="n">
        <x:f>IF(OR(L646="Operating",L646="Investing",L646="Financing"),C646,0)</x:f>
        <x:v>0</x:v>
      </x:c>
      <x:c r="O646" s="12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>
      <x:c r="A647" s="1"/>
      <x:c r="B647" s="1"/>
      <x:c r="C647" s="14"/>
      <x:c r="D647" s="14"/>
      <x:c r="E647" s="14"/>
      <x:c r="F647" s="14"/>
      <x:c r="G647" s="14"/>
      <x:c r="H647" s="14"/>
      <x:c r="I647" s="14"/>
      <x:c r="J647" s="14"/>
      <x:c r="K647" s="14"/>
      <x:c r="L647" s="12"/>
      <x:c r="M647" s="12"/>
      <x:c r="N647" s="15" t="n">
        <x:f>IF(OR(L647="Operating",L647="Investing",L647="Financing"),C647,0)</x:f>
        <x:v>0</x:v>
      </x:c>
      <x:c r="O647" s="12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>
      <x:c r="A648" s="1"/>
      <x:c r="B648" s="1"/>
      <x:c r="C648" s="14"/>
      <x:c r="D648" s="14"/>
      <x:c r="E648" s="14"/>
      <x:c r="F648" s="14"/>
      <x:c r="G648" s="14"/>
      <x:c r="H648" s="14"/>
      <x:c r="I648" s="14"/>
      <x:c r="J648" s="14"/>
      <x:c r="K648" s="14"/>
      <x:c r="L648" s="12"/>
      <x:c r="M648" s="12"/>
      <x:c r="N648" s="15" t="n">
        <x:f>IF(OR(L648="Operating",L648="Investing",L648="Financing"),C648,0)</x:f>
        <x:v>0</x:v>
      </x:c>
      <x:c r="O648" s="12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>
      <x:c r="A649" s="1"/>
      <x:c r="B649" s="1"/>
      <x:c r="C649" s="14"/>
      <x:c r="D649" s="14"/>
      <x:c r="E649" s="14"/>
      <x:c r="F649" s="14"/>
      <x:c r="G649" s="14"/>
      <x:c r="H649" s="14"/>
      <x:c r="I649" s="14"/>
      <x:c r="J649" s="14"/>
      <x:c r="K649" s="14"/>
      <x:c r="L649" s="12"/>
      <x:c r="M649" s="12"/>
      <x:c r="N649" s="15" t="n">
        <x:f>IF(OR(L649="Operating",L649="Investing",L649="Financing"),C649,0)</x:f>
        <x:v>0</x:v>
      </x:c>
      <x:c r="O649" s="12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>
      <x:c r="A650" s="1"/>
      <x:c r="B650" s="1"/>
      <x:c r="C650" s="14"/>
      <x:c r="D650" s="14"/>
      <x:c r="E650" s="14"/>
      <x:c r="F650" s="14"/>
      <x:c r="G650" s="14"/>
      <x:c r="H650" s="14"/>
      <x:c r="I650" s="14"/>
      <x:c r="J650" s="14"/>
      <x:c r="K650" s="14"/>
      <x:c r="L650" s="12"/>
      <x:c r="M650" s="12"/>
      <x:c r="N650" s="15" t="n">
        <x:f>IF(OR(L650="Operating",L650="Investing",L650="Financing"),C650,0)</x:f>
        <x:v>0</x:v>
      </x:c>
      <x:c r="O650" s="12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>
      <x:c r="A651" s="1"/>
      <x:c r="B651" s="1"/>
      <x:c r="C651" s="14"/>
      <x:c r="D651" s="14"/>
      <x:c r="E651" s="14"/>
      <x:c r="F651" s="14"/>
      <x:c r="G651" s="14"/>
      <x:c r="H651" s="14"/>
      <x:c r="I651" s="14"/>
      <x:c r="J651" s="14"/>
      <x:c r="K651" s="14"/>
      <x:c r="L651" s="12"/>
      <x:c r="M651" s="12"/>
      <x:c r="N651" s="15" t="n">
        <x:f>IF(OR(L651="Operating",L651="Investing",L651="Financing"),C651,0)</x:f>
        <x:v>0</x:v>
      </x:c>
      <x:c r="O651" s="12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>
      <x:c r="A652" s="1"/>
      <x:c r="B652" s="1"/>
      <x:c r="C652" s="14"/>
      <x:c r="D652" s="14"/>
      <x:c r="E652" s="14"/>
      <x:c r="F652" s="14"/>
      <x:c r="G652" s="14"/>
      <x:c r="H652" s="14"/>
      <x:c r="I652" s="14"/>
      <x:c r="J652" s="14"/>
      <x:c r="K652" s="14"/>
      <x:c r="L652" s="12"/>
      <x:c r="M652" s="12"/>
      <x:c r="N652" s="15" t="n">
        <x:f>IF(OR(L652="Operating",L652="Investing",L652="Financing"),C652,0)</x:f>
        <x:v>0</x:v>
      </x:c>
      <x:c r="O652" s="12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>
      <x:c r="A653" s="1"/>
      <x:c r="B653" s="1"/>
      <x:c r="C653" s="14"/>
      <x:c r="D653" s="14"/>
      <x:c r="E653" s="14"/>
      <x:c r="F653" s="14"/>
      <x:c r="G653" s="14"/>
      <x:c r="H653" s="14"/>
      <x:c r="I653" s="14"/>
      <x:c r="J653" s="14"/>
      <x:c r="K653" s="14"/>
      <x:c r="L653" s="12"/>
      <x:c r="M653" s="12"/>
      <x:c r="N653" s="15" t="n">
        <x:f>IF(OR(L653="Operating",L653="Investing",L653="Financing"),C653,0)</x:f>
        <x:v>0</x:v>
      </x:c>
      <x:c r="O653" s="12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>
      <x:c r="A654" s="1"/>
      <x:c r="B654" s="1"/>
      <x:c r="C654" s="14"/>
      <x:c r="D654" s="14"/>
      <x:c r="E654" s="14"/>
      <x:c r="F654" s="14"/>
      <x:c r="G654" s="14"/>
      <x:c r="H654" s="14"/>
      <x:c r="I654" s="14"/>
      <x:c r="J654" s="14"/>
      <x:c r="K654" s="14"/>
      <x:c r="L654" s="12"/>
      <x:c r="M654" s="12"/>
      <x:c r="N654" s="15" t="n">
        <x:f>IF(OR(L654="Operating",L654="Investing",L654="Financing"),C654,0)</x:f>
        <x:v>0</x:v>
      </x:c>
      <x:c r="O654" s="12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>
      <x:c r="A655" s="1"/>
      <x:c r="B655" s="1"/>
      <x:c r="C655" s="14"/>
      <x:c r="D655" s="14"/>
      <x:c r="E655" s="14"/>
      <x:c r="F655" s="14"/>
      <x:c r="G655" s="14"/>
      <x:c r="H655" s="14"/>
      <x:c r="I655" s="14"/>
      <x:c r="J655" s="14"/>
      <x:c r="K655" s="14"/>
      <x:c r="L655" s="12"/>
      <x:c r="M655" s="12"/>
      <x:c r="N655" s="15" t="n">
        <x:f>IF(OR(L655="Operating",L655="Investing",L655="Financing"),C655,0)</x:f>
        <x:v>0</x:v>
      </x:c>
      <x:c r="O655" s="12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>
      <x:c r="A656" s="1"/>
      <x:c r="B656" s="1"/>
      <x:c r="C656" s="14"/>
      <x:c r="D656" s="14"/>
      <x:c r="E656" s="14"/>
      <x:c r="F656" s="14"/>
      <x:c r="G656" s="14"/>
      <x:c r="H656" s="14"/>
      <x:c r="I656" s="14"/>
      <x:c r="J656" s="14"/>
      <x:c r="K656" s="14"/>
      <x:c r="L656" s="12"/>
      <x:c r="M656" s="12"/>
      <x:c r="N656" s="15" t="n">
        <x:f>IF(OR(L656="Operating",L656="Investing",L656="Financing"),C656,0)</x:f>
        <x:v>0</x:v>
      </x:c>
      <x:c r="O656" s="12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>
      <x:c r="A657" s="1"/>
      <x:c r="B657" s="1"/>
      <x:c r="C657" s="14"/>
      <x:c r="D657" s="14"/>
      <x:c r="E657" s="14"/>
      <x:c r="F657" s="14"/>
      <x:c r="G657" s="14"/>
      <x:c r="H657" s="14"/>
      <x:c r="I657" s="14"/>
      <x:c r="J657" s="14"/>
      <x:c r="K657" s="14"/>
      <x:c r="L657" s="12"/>
      <x:c r="M657" s="12"/>
      <x:c r="N657" s="15" t="n">
        <x:f>IF(OR(L657="Operating",L657="Investing",L657="Financing"),C657,0)</x:f>
        <x:v>0</x:v>
      </x:c>
      <x:c r="O657" s="12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>
      <x:c r="A658" s="1"/>
      <x:c r="B658" s="1"/>
      <x:c r="C658" s="14"/>
      <x:c r="D658" s="14"/>
      <x:c r="E658" s="14"/>
      <x:c r="F658" s="14"/>
      <x:c r="G658" s="14"/>
      <x:c r="H658" s="14"/>
      <x:c r="I658" s="14"/>
      <x:c r="J658" s="14"/>
      <x:c r="K658" s="14"/>
      <x:c r="L658" s="12"/>
      <x:c r="M658" s="12"/>
      <x:c r="N658" s="15" t="n">
        <x:f>IF(OR(L658="Operating",L658="Investing",L658="Financing"),C658,0)</x:f>
        <x:v>0</x:v>
      </x:c>
      <x:c r="O658" s="12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>
      <x:c r="A659" s="1"/>
      <x:c r="B659" s="1"/>
      <x:c r="C659" s="14"/>
      <x:c r="D659" s="14"/>
      <x:c r="E659" s="14"/>
      <x:c r="F659" s="14"/>
      <x:c r="G659" s="14"/>
      <x:c r="H659" s="14"/>
      <x:c r="I659" s="14"/>
      <x:c r="J659" s="14"/>
      <x:c r="K659" s="14"/>
      <x:c r="L659" s="12"/>
      <x:c r="M659" s="12"/>
      <x:c r="N659" s="15" t="n">
        <x:f>IF(OR(L659="Operating",L659="Investing",L659="Financing"),C659,0)</x:f>
        <x:v>0</x:v>
      </x:c>
      <x:c r="O659" s="12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>
      <x:c r="A660" s="1"/>
      <x:c r="B660" s="1"/>
      <x:c r="C660" s="14"/>
      <x:c r="D660" s="14"/>
      <x:c r="E660" s="14"/>
      <x:c r="F660" s="14"/>
      <x:c r="G660" s="14"/>
      <x:c r="H660" s="14"/>
      <x:c r="I660" s="14"/>
      <x:c r="J660" s="14"/>
      <x:c r="K660" s="14"/>
      <x:c r="L660" s="12"/>
      <x:c r="M660" s="12"/>
      <x:c r="N660" s="15" t="n">
        <x:f>IF(OR(L660="Operating",L660="Investing",L660="Financing"),C660,0)</x:f>
        <x:v>0</x:v>
      </x:c>
      <x:c r="O660" s="12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>
      <x:c r="A661" s="1"/>
      <x:c r="B661" s="1"/>
      <x:c r="C661" s="14"/>
      <x:c r="D661" s="14"/>
      <x:c r="E661" s="14"/>
      <x:c r="F661" s="14"/>
      <x:c r="G661" s="14"/>
      <x:c r="H661" s="14"/>
      <x:c r="I661" s="14"/>
      <x:c r="J661" s="14"/>
      <x:c r="K661" s="14"/>
      <x:c r="L661" s="12"/>
      <x:c r="M661" s="12"/>
      <x:c r="N661" s="15" t="n">
        <x:f>IF(OR(L661="Operating",L661="Investing",L661="Financing"),C661,0)</x:f>
        <x:v>0</x:v>
      </x:c>
      <x:c r="O661" s="12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>
      <x:c r="A662" s="1"/>
      <x:c r="B662" s="1"/>
      <x:c r="C662" s="14"/>
      <x:c r="D662" s="14"/>
      <x:c r="E662" s="14"/>
      <x:c r="F662" s="14"/>
      <x:c r="G662" s="14"/>
      <x:c r="H662" s="14"/>
      <x:c r="I662" s="14"/>
      <x:c r="J662" s="14"/>
      <x:c r="K662" s="14"/>
      <x:c r="L662" s="12"/>
      <x:c r="M662" s="12"/>
      <x:c r="N662" s="15" t="n">
        <x:f>IF(OR(L662="Operating",L662="Investing",L662="Financing"),C662,0)</x:f>
        <x:v>0</x:v>
      </x:c>
      <x:c r="O662" s="12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>
      <x:c r="A663" s="1"/>
      <x:c r="B663" s="1"/>
      <x:c r="C663" s="14"/>
      <x:c r="D663" s="14"/>
      <x:c r="E663" s="14"/>
      <x:c r="F663" s="14"/>
      <x:c r="G663" s="14"/>
      <x:c r="H663" s="14"/>
      <x:c r="I663" s="14"/>
      <x:c r="J663" s="14"/>
      <x:c r="K663" s="14"/>
      <x:c r="L663" s="12"/>
      <x:c r="M663" s="12"/>
      <x:c r="N663" s="15" t="n">
        <x:f>IF(OR(L663="Operating",L663="Investing",L663="Financing"),C663,0)</x:f>
        <x:v>0</x:v>
      </x:c>
      <x:c r="O663" s="12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>
      <x:c r="A664" s="1"/>
      <x:c r="B664" s="1"/>
      <x:c r="C664" s="14"/>
      <x:c r="D664" s="14"/>
      <x:c r="E664" s="14"/>
      <x:c r="F664" s="14"/>
      <x:c r="G664" s="14"/>
      <x:c r="H664" s="14"/>
      <x:c r="I664" s="14"/>
      <x:c r="J664" s="14"/>
      <x:c r="K664" s="14"/>
      <x:c r="L664" s="12"/>
      <x:c r="M664" s="12"/>
      <x:c r="N664" s="15" t="n">
        <x:f>IF(OR(L664="Operating",L664="Investing",L664="Financing"),C664,0)</x:f>
        <x:v>0</x:v>
      </x:c>
      <x:c r="O664" s="12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>
      <x:c r="A665" s="1"/>
      <x:c r="B665" s="1"/>
      <x:c r="C665" s="14"/>
      <x:c r="D665" s="14"/>
      <x:c r="E665" s="14"/>
      <x:c r="F665" s="14"/>
      <x:c r="G665" s="14"/>
      <x:c r="H665" s="14"/>
      <x:c r="I665" s="14"/>
      <x:c r="J665" s="14"/>
      <x:c r="K665" s="14"/>
      <x:c r="L665" s="12"/>
      <x:c r="M665" s="12"/>
      <x:c r="N665" s="15" t="n">
        <x:f>IF(OR(L665="Operating",L665="Investing",L665="Financing"),C665,0)</x:f>
        <x:v>0</x:v>
      </x:c>
      <x:c r="O665" s="12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>
      <x:c r="A666" s="1"/>
      <x:c r="B666" s="1"/>
      <x:c r="C666" s="14"/>
      <x:c r="D666" s="14"/>
      <x:c r="E666" s="14"/>
      <x:c r="F666" s="14"/>
      <x:c r="G666" s="14"/>
      <x:c r="H666" s="14"/>
      <x:c r="I666" s="14"/>
      <x:c r="J666" s="14"/>
      <x:c r="K666" s="14"/>
      <x:c r="L666" s="12"/>
      <x:c r="M666" s="12"/>
      <x:c r="N666" s="15" t="n">
        <x:f>IF(OR(L666="Operating",L666="Investing",L666="Financing"),C666,0)</x:f>
        <x:v>0</x:v>
      </x:c>
      <x:c r="O666" s="12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>
      <x:c r="A667" s="1"/>
      <x:c r="B667" s="1"/>
      <x:c r="C667" s="14"/>
      <x:c r="D667" s="14"/>
      <x:c r="E667" s="14"/>
      <x:c r="F667" s="14"/>
      <x:c r="G667" s="14"/>
      <x:c r="H667" s="14"/>
      <x:c r="I667" s="14"/>
      <x:c r="J667" s="14"/>
      <x:c r="K667" s="14"/>
      <x:c r="L667" s="12"/>
      <x:c r="M667" s="12"/>
      <x:c r="N667" s="15" t="n">
        <x:f>IF(OR(L667="Operating",L667="Investing",L667="Financing"),C667,0)</x:f>
        <x:v>0</x:v>
      </x:c>
      <x:c r="O667" s="12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>
      <x:c r="A668" s="1"/>
      <x:c r="B668" s="1"/>
      <x:c r="C668" s="14"/>
      <x:c r="D668" s="14"/>
      <x:c r="E668" s="14"/>
      <x:c r="F668" s="14"/>
      <x:c r="G668" s="14"/>
      <x:c r="H668" s="14"/>
      <x:c r="I668" s="14"/>
      <x:c r="J668" s="14"/>
      <x:c r="K668" s="14"/>
      <x:c r="L668" s="12"/>
      <x:c r="M668" s="12"/>
      <x:c r="N668" s="15" t="n">
        <x:f>IF(OR(L668="Operating",L668="Investing",L668="Financing"),C668,0)</x:f>
        <x:v>0</x:v>
      </x:c>
      <x:c r="O668" s="12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>
      <x:c r="A669" s="1"/>
      <x:c r="B669" s="1"/>
      <x:c r="C669" s="14"/>
      <x:c r="D669" s="14"/>
      <x:c r="E669" s="14"/>
      <x:c r="F669" s="14"/>
      <x:c r="G669" s="14"/>
      <x:c r="H669" s="14"/>
      <x:c r="I669" s="14"/>
      <x:c r="J669" s="14"/>
      <x:c r="K669" s="14"/>
      <x:c r="L669" s="12"/>
      <x:c r="M669" s="12"/>
      <x:c r="N669" s="15" t="n">
        <x:f>IF(OR(L669="Operating",L669="Investing",L669="Financing"),C669,0)</x:f>
        <x:v>0</x:v>
      </x:c>
      <x:c r="O669" s="12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>
      <x:c r="A670" s="1"/>
      <x:c r="B670" s="1"/>
      <x:c r="C670" s="14"/>
      <x:c r="D670" s="14"/>
      <x:c r="E670" s="14"/>
      <x:c r="F670" s="14"/>
      <x:c r="G670" s="14"/>
      <x:c r="H670" s="14"/>
      <x:c r="I670" s="14"/>
      <x:c r="J670" s="14"/>
      <x:c r="K670" s="14"/>
      <x:c r="L670" s="12"/>
      <x:c r="M670" s="12"/>
      <x:c r="N670" s="15" t="n">
        <x:f>IF(OR(L670="Operating",L670="Investing",L670="Financing"),C670,0)</x:f>
        <x:v>0</x:v>
      </x:c>
      <x:c r="O670" s="12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>
      <x:c r="A671" s="1"/>
      <x:c r="B671" s="1"/>
      <x:c r="C671" s="14"/>
      <x:c r="D671" s="14"/>
      <x:c r="E671" s="14"/>
      <x:c r="F671" s="14"/>
      <x:c r="G671" s="14"/>
      <x:c r="H671" s="14"/>
      <x:c r="I671" s="14"/>
      <x:c r="J671" s="14"/>
      <x:c r="K671" s="14"/>
      <x:c r="L671" s="12"/>
      <x:c r="M671" s="12"/>
      <x:c r="N671" s="15" t="n">
        <x:f>IF(OR(L671="Operating",L671="Investing",L671="Financing"),C671,0)</x:f>
        <x:v>0</x:v>
      </x:c>
      <x:c r="O671" s="12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>
      <x:c r="A672" s="1"/>
      <x:c r="B672" s="1"/>
      <x:c r="C672" s="14"/>
      <x:c r="D672" s="14"/>
      <x:c r="E672" s="14"/>
      <x:c r="F672" s="14"/>
      <x:c r="G672" s="14"/>
      <x:c r="H672" s="14"/>
      <x:c r="I672" s="14"/>
      <x:c r="J672" s="14"/>
      <x:c r="K672" s="14"/>
      <x:c r="L672" s="12"/>
      <x:c r="M672" s="12"/>
      <x:c r="N672" s="15" t="n">
        <x:f>IF(OR(L672="Operating",L672="Investing",L672="Financing"),C672,0)</x:f>
        <x:v>0</x:v>
      </x:c>
      <x:c r="O672" s="12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>
      <x:c r="A673" s="1"/>
      <x:c r="B673" s="1"/>
      <x:c r="C673" s="14"/>
      <x:c r="D673" s="14"/>
      <x:c r="E673" s="14"/>
      <x:c r="F673" s="14"/>
      <x:c r="G673" s="14"/>
      <x:c r="H673" s="14"/>
      <x:c r="I673" s="14"/>
      <x:c r="J673" s="14"/>
      <x:c r="K673" s="14"/>
      <x:c r="L673" s="12"/>
      <x:c r="M673" s="12"/>
      <x:c r="N673" s="15" t="n">
        <x:f>IF(OR(L673="Operating",L673="Investing",L673="Financing"),C673,0)</x:f>
        <x:v>0</x:v>
      </x:c>
      <x:c r="O673" s="12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>
      <x:c r="A674" s="1"/>
      <x:c r="B674" s="1"/>
      <x:c r="C674" s="14"/>
      <x:c r="D674" s="14"/>
      <x:c r="E674" s="14"/>
      <x:c r="F674" s="14"/>
      <x:c r="G674" s="14"/>
      <x:c r="H674" s="14"/>
      <x:c r="I674" s="14"/>
      <x:c r="J674" s="14"/>
      <x:c r="K674" s="14"/>
      <x:c r="L674" s="12"/>
      <x:c r="M674" s="12"/>
      <x:c r="N674" s="15" t="n">
        <x:f>IF(OR(L674="Operating",L674="Investing",L674="Financing"),C674,0)</x:f>
        <x:v>0</x:v>
      </x:c>
      <x:c r="O674" s="12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>
      <x:c r="A675" s="1"/>
      <x:c r="B675" s="1"/>
      <x:c r="C675" s="14"/>
      <x:c r="D675" s="14"/>
      <x:c r="E675" s="14"/>
      <x:c r="F675" s="14"/>
      <x:c r="G675" s="14"/>
      <x:c r="H675" s="14"/>
      <x:c r="I675" s="14"/>
      <x:c r="J675" s="14"/>
      <x:c r="K675" s="14"/>
      <x:c r="L675" s="12"/>
      <x:c r="M675" s="12"/>
      <x:c r="N675" s="15" t="n">
        <x:f>IF(OR(L675="Operating",L675="Investing",L675="Financing"),C675,0)</x:f>
        <x:v>0</x:v>
      </x:c>
      <x:c r="O675" s="12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>
      <x:c r="A676" s="1"/>
      <x:c r="B676" s="1"/>
      <x:c r="C676" s="14"/>
      <x:c r="D676" s="14"/>
      <x:c r="E676" s="14"/>
      <x:c r="F676" s="14"/>
      <x:c r="G676" s="14"/>
      <x:c r="H676" s="14"/>
      <x:c r="I676" s="14"/>
      <x:c r="J676" s="14"/>
      <x:c r="K676" s="14"/>
      <x:c r="L676" s="12"/>
      <x:c r="M676" s="12"/>
      <x:c r="N676" s="15" t="n">
        <x:f>IF(OR(L676="Operating",L676="Investing",L676="Financing"),C676,0)</x:f>
        <x:v>0</x:v>
      </x:c>
      <x:c r="O676" s="12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>
      <x:c r="A677" s="1"/>
      <x:c r="B677" s="1"/>
      <x:c r="C677" s="14"/>
      <x:c r="D677" s="14"/>
      <x:c r="E677" s="14"/>
      <x:c r="F677" s="14"/>
      <x:c r="G677" s="14"/>
      <x:c r="H677" s="14"/>
      <x:c r="I677" s="14"/>
      <x:c r="J677" s="14"/>
      <x:c r="K677" s="14"/>
      <x:c r="L677" s="12"/>
      <x:c r="M677" s="12"/>
      <x:c r="N677" s="15" t="n">
        <x:f>IF(OR(L677="Operating",L677="Investing",L677="Financing"),C677,0)</x:f>
        <x:v>0</x:v>
      </x:c>
      <x:c r="O677" s="12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>
      <x:c r="A678" s="1"/>
      <x:c r="B678" s="1"/>
      <x:c r="C678" s="14"/>
      <x:c r="D678" s="14"/>
      <x:c r="E678" s="14"/>
      <x:c r="F678" s="14"/>
      <x:c r="G678" s="14"/>
      <x:c r="H678" s="14"/>
      <x:c r="I678" s="14"/>
      <x:c r="J678" s="14"/>
      <x:c r="K678" s="14"/>
      <x:c r="L678" s="12"/>
      <x:c r="M678" s="12"/>
      <x:c r="N678" s="15" t="n">
        <x:f>IF(OR(L678="Operating",L678="Investing",L678="Financing"),C678,0)</x:f>
        <x:v>0</x:v>
      </x:c>
      <x:c r="O678" s="12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>
      <x:c r="A679" s="1"/>
      <x:c r="B679" s="1"/>
      <x:c r="C679" s="14"/>
      <x:c r="D679" s="14"/>
      <x:c r="E679" s="14"/>
      <x:c r="F679" s="14"/>
      <x:c r="G679" s="14"/>
      <x:c r="H679" s="14"/>
      <x:c r="I679" s="14"/>
      <x:c r="J679" s="14"/>
      <x:c r="K679" s="14"/>
      <x:c r="L679" s="12"/>
      <x:c r="M679" s="12"/>
      <x:c r="N679" s="15" t="n">
        <x:f>IF(OR(L679="Operating",L679="Investing",L679="Financing"),C679,0)</x:f>
        <x:v>0</x:v>
      </x:c>
      <x:c r="O679" s="12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>
      <x:c r="A680" s="1"/>
      <x:c r="B680" s="1"/>
      <x:c r="C680" s="14"/>
      <x:c r="D680" s="14"/>
      <x:c r="E680" s="14"/>
      <x:c r="F680" s="14"/>
      <x:c r="G680" s="14"/>
      <x:c r="H680" s="14"/>
      <x:c r="I680" s="14"/>
      <x:c r="J680" s="14"/>
      <x:c r="K680" s="14"/>
      <x:c r="L680" s="12"/>
      <x:c r="M680" s="12"/>
      <x:c r="N680" s="15" t="n">
        <x:f>IF(OR(L680="Operating",L680="Investing",L680="Financing"),C680,0)</x:f>
        <x:v>0</x:v>
      </x:c>
      <x:c r="O680" s="12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>
      <x:c r="A681" s="1"/>
      <x:c r="B681" s="1"/>
      <x:c r="C681" s="14"/>
      <x:c r="D681" s="14"/>
      <x:c r="E681" s="14"/>
      <x:c r="F681" s="14"/>
      <x:c r="G681" s="14"/>
      <x:c r="H681" s="14"/>
      <x:c r="I681" s="14"/>
      <x:c r="J681" s="14"/>
      <x:c r="K681" s="14"/>
      <x:c r="L681" s="12"/>
      <x:c r="M681" s="12"/>
      <x:c r="N681" s="15" t="n">
        <x:f>IF(OR(L681="Operating",L681="Investing",L681="Financing"),C681,0)</x:f>
        <x:v>0</x:v>
      </x:c>
      <x:c r="O681" s="12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>
      <x:c r="A682" s="1"/>
      <x:c r="B682" s="1"/>
      <x:c r="C682" s="14"/>
      <x:c r="D682" s="14"/>
      <x:c r="E682" s="14"/>
      <x:c r="F682" s="14"/>
      <x:c r="G682" s="14"/>
      <x:c r="H682" s="14"/>
      <x:c r="I682" s="14"/>
      <x:c r="J682" s="14"/>
      <x:c r="K682" s="14"/>
      <x:c r="L682" s="12"/>
      <x:c r="M682" s="12"/>
      <x:c r="N682" s="15" t="n">
        <x:f>IF(OR(L682="Operating",L682="Investing",L682="Financing"),C682,0)</x:f>
        <x:v>0</x:v>
      </x:c>
      <x:c r="O682" s="12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>
      <x:c r="A683" s="1"/>
      <x:c r="B683" s="1"/>
      <x:c r="C683" s="14"/>
      <x:c r="D683" s="14"/>
      <x:c r="E683" s="14"/>
      <x:c r="F683" s="14"/>
      <x:c r="G683" s="14"/>
      <x:c r="H683" s="14"/>
      <x:c r="I683" s="14"/>
      <x:c r="J683" s="14"/>
      <x:c r="K683" s="14"/>
      <x:c r="L683" s="12"/>
      <x:c r="M683" s="12"/>
      <x:c r="N683" s="15" t="n">
        <x:f>IF(OR(L683="Operating",L683="Investing",L683="Financing"),C683,0)</x:f>
        <x:v>0</x:v>
      </x:c>
      <x:c r="O683" s="12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>
      <x:c r="A684" s="1"/>
      <x:c r="B684" s="1"/>
      <x:c r="C684" s="14"/>
      <x:c r="D684" s="14"/>
      <x:c r="E684" s="14"/>
      <x:c r="F684" s="14"/>
      <x:c r="G684" s="14"/>
      <x:c r="H684" s="14"/>
      <x:c r="I684" s="14"/>
      <x:c r="J684" s="14"/>
      <x:c r="K684" s="14"/>
      <x:c r="L684" s="12"/>
      <x:c r="M684" s="12"/>
      <x:c r="N684" s="15" t="n">
        <x:f>IF(OR(L684="Operating",L684="Investing",L684="Financing"),C684,0)</x:f>
        <x:v>0</x:v>
      </x:c>
      <x:c r="O684" s="12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>
      <x:c r="A685" s="1"/>
      <x:c r="B685" s="1"/>
      <x:c r="C685" s="14"/>
      <x:c r="D685" s="14"/>
      <x:c r="E685" s="14"/>
      <x:c r="F685" s="14"/>
      <x:c r="G685" s="14"/>
      <x:c r="H685" s="14"/>
      <x:c r="I685" s="14"/>
      <x:c r="J685" s="14"/>
      <x:c r="K685" s="14"/>
      <x:c r="L685" s="12"/>
      <x:c r="M685" s="12"/>
      <x:c r="N685" s="15" t="n">
        <x:f>IF(OR(L685="Operating",L685="Investing",L685="Financing"),C685,0)</x:f>
        <x:v>0</x:v>
      </x:c>
      <x:c r="O685" s="12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>
      <x:c r="A686" s="1"/>
      <x:c r="B686" s="1"/>
      <x:c r="C686" s="14"/>
      <x:c r="D686" s="14"/>
      <x:c r="E686" s="14"/>
      <x:c r="F686" s="14"/>
      <x:c r="G686" s="14"/>
      <x:c r="H686" s="14"/>
      <x:c r="I686" s="14"/>
      <x:c r="J686" s="14"/>
      <x:c r="K686" s="14"/>
      <x:c r="L686" s="12"/>
      <x:c r="M686" s="12"/>
      <x:c r="N686" s="15" t="n">
        <x:f>IF(OR(L686="Operating",L686="Investing",L686="Financing"),C686,0)</x:f>
        <x:v>0</x:v>
      </x:c>
      <x:c r="O686" s="12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>
      <x:c r="A687" s="1"/>
      <x:c r="B687" s="1"/>
      <x:c r="C687" s="14"/>
      <x:c r="D687" s="14"/>
      <x:c r="E687" s="14"/>
      <x:c r="F687" s="14"/>
      <x:c r="G687" s="14"/>
      <x:c r="H687" s="14"/>
      <x:c r="I687" s="14"/>
      <x:c r="J687" s="14"/>
      <x:c r="K687" s="14"/>
      <x:c r="L687" s="12"/>
      <x:c r="M687" s="12"/>
      <x:c r="N687" s="15" t="n">
        <x:f>IF(OR(L687="Operating",L687="Investing",L687="Financing"),C687,0)</x:f>
        <x:v>0</x:v>
      </x:c>
      <x:c r="O687" s="12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>
      <x:c r="A688" s="1"/>
      <x:c r="B688" s="1"/>
      <x:c r="C688" s="14"/>
      <x:c r="D688" s="14"/>
      <x:c r="E688" s="14"/>
      <x:c r="F688" s="14"/>
      <x:c r="G688" s="14"/>
      <x:c r="H688" s="14"/>
      <x:c r="I688" s="14"/>
      <x:c r="J688" s="14"/>
      <x:c r="K688" s="14"/>
      <x:c r="L688" s="12"/>
      <x:c r="M688" s="12"/>
      <x:c r="N688" s="15" t="n">
        <x:f>IF(OR(L688="Operating",L688="Investing",L688="Financing"),C688,0)</x:f>
        <x:v>0</x:v>
      </x:c>
      <x:c r="O688" s="12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>
      <x:c r="A689" s="1"/>
      <x:c r="B689" s="1"/>
      <x:c r="C689" s="14"/>
      <x:c r="D689" s="14"/>
      <x:c r="E689" s="14"/>
      <x:c r="F689" s="14"/>
      <x:c r="G689" s="14"/>
      <x:c r="H689" s="14"/>
      <x:c r="I689" s="14"/>
      <x:c r="J689" s="14"/>
      <x:c r="K689" s="14"/>
      <x:c r="L689" s="12"/>
      <x:c r="M689" s="12"/>
      <x:c r="N689" s="15" t="n">
        <x:f>IF(OR(L689="Operating",L689="Investing",L689="Financing"),C689,0)</x:f>
        <x:v>0</x:v>
      </x:c>
      <x:c r="O689" s="12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>
      <x:c r="A690" s="1"/>
      <x:c r="B690" s="1"/>
      <x:c r="C690" s="14"/>
      <x:c r="D690" s="14"/>
      <x:c r="E690" s="14"/>
      <x:c r="F690" s="14"/>
      <x:c r="G690" s="14"/>
      <x:c r="H690" s="14"/>
      <x:c r="I690" s="14"/>
      <x:c r="J690" s="14"/>
      <x:c r="K690" s="14"/>
      <x:c r="L690" s="12"/>
      <x:c r="M690" s="12"/>
      <x:c r="N690" s="15" t="n">
        <x:f>IF(OR(L690="Operating",L690="Investing",L690="Financing"),C690,0)</x:f>
        <x:v>0</x:v>
      </x:c>
      <x:c r="O690" s="12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>
      <x:c r="A691" s="1"/>
      <x:c r="B691" s="1"/>
      <x:c r="C691" s="14"/>
      <x:c r="D691" s="14"/>
      <x:c r="E691" s="14"/>
      <x:c r="F691" s="14"/>
      <x:c r="G691" s="14"/>
      <x:c r="H691" s="14"/>
      <x:c r="I691" s="14"/>
      <x:c r="J691" s="14"/>
      <x:c r="K691" s="14"/>
      <x:c r="L691" s="12"/>
      <x:c r="M691" s="12"/>
      <x:c r="N691" s="15" t="n">
        <x:f>IF(OR(L691="Operating",L691="Investing",L691="Financing"),C691,0)</x:f>
        <x:v>0</x:v>
      </x:c>
      <x:c r="O691" s="12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>
      <x:c r="A692" s="1"/>
      <x:c r="B692" s="1"/>
      <x:c r="C692" s="14"/>
      <x:c r="D692" s="14"/>
      <x:c r="E692" s="14"/>
      <x:c r="F692" s="14"/>
      <x:c r="G692" s="14"/>
      <x:c r="H692" s="14"/>
      <x:c r="I692" s="14"/>
      <x:c r="J692" s="14"/>
      <x:c r="K692" s="14"/>
      <x:c r="L692" s="12"/>
      <x:c r="M692" s="12"/>
      <x:c r="N692" s="15" t="n">
        <x:f>IF(OR(L692="Operating",L692="Investing",L692="Financing"),C692,0)</x:f>
        <x:v>0</x:v>
      </x:c>
      <x:c r="O692" s="12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>
      <x:c r="A693" s="1"/>
      <x:c r="B693" s="1"/>
      <x:c r="C693" s="14"/>
      <x:c r="D693" s="14"/>
      <x:c r="E693" s="14"/>
      <x:c r="F693" s="14"/>
      <x:c r="G693" s="14"/>
      <x:c r="H693" s="14"/>
      <x:c r="I693" s="14"/>
      <x:c r="J693" s="14"/>
      <x:c r="K693" s="14"/>
      <x:c r="L693" s="12"/>
      <x:c r="M693" s="12"/>
      <x:c r="N693" s="15" t="n">
        <x:f>IF(OR(L693="Operating",L693="Investing",L693="Financing"),C693,0)</x:f>
        <x:v>0</x:v>
      </x:c>
      <x:c r="O693" s="12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>
      <x:c r="A694" s="1"/>
      <x:c r="B694" s="1"/>
      <x:c r="C694" s="14"/>
      <x:c r="D694" s="14"/>
      <x:c r="E694" s="14"/>
      <x:c r="F694" s="14"/>
      <x:c r="G694" s="14"/>
      <x:c r="H694" s="14"/>
      <x:c r="I694" s="14"/>
      <x:c r="J694" s="14"/>
      <x:c r="K694" s="14"/>
      <x:c r="L694" s="12"/>
      <x:c r="M694" s="12"/>
      <x:c r="N694" s="15" t="n">
        <x:f>IF(OR(L694="Operating",L694="Investing",L694="Financing"),C694,0)</x:f>
        <x:v>0</x:v>
      </x:c>
      <x:c r="O694" s="12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>
      <x:c r="A695" s="1"/>
      <x:c r="B695" s="1"/>
      <x:c r="C695" s="14"/>
      <x:c r="D695" s="14"/>
      <x:c r="E695" s="14"/>
      <x:c r="F695" s="14"/>
      <x:c r="G695" s="14"/>
      <x:c r="H695" s="14"/>
      <x:c r="I695" s="14"/>
      <x:c r="J695" s="14"/>
      <x:c r="K695" s="14"/>
      <x:c r="L695" s="12"/>
      <x:c r="M695" s="12"/>
      <x:c r="N695" s="15" t="n">
        <x:f>IF(OR(L695="Operating",L695="Investing",L695="Financing"),C695,0)</x:f>
        <x:v>0</x:v>
      </x:c>
      <x:c r="O695" s="12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>
      <x:c r="A696" s="1"/>
      <x:c r="B696" s="1"/>
      <x:c r="C696" s="14"/>
      <x:c r="D696" s="14"/>
      <x:c r="E696" s="14"/>
      <x:c r="F696" s="14"/>
      <x:c r="G696" s="14"/>
      <x:c r="H696" s="14"/>
      <x:c r="I696" s="14"/>
      <x:c r="J696" s="14"/>
      <x:c r="K696" s="14"/>
      <x:c r="L696" s="12"/>
      <x:c r="M696" s="12"/>
      <x:c r="N696" s="15" t="n">
        <x:f>IF(OR(L696="Operating",L696="Investing",L696="Financing"),C696,0)</x:f>
        <x:v>0</x:v>
      </x:c>
      <x:c r="O696" s="12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>
      <x:c r="A697" s="1"/>
      <x:c r="B697" s="1"/>
      <x:c r="C697" s="14"/>
      <x:c r="D697" s="14"/>
      <x:c r="E697" s="14"/>
      <x:c r="F697" s="14"/>
      <x:c r="G697" s="14"/>
      <x:c r="H697" s="14"/>
      <x:c r="I697" s="14"/>
      <x:c r="J697" s="14"/>
      <x:c r="K697" s="14"/>
      <x:c r="L697" s="12"/>
      <x:c r="M697" s="12"/>
      <x:c r="N697" s="15" t="n">
        <x:f>IF(OR(L697="Operating",L697="Investing",L697="Financing"),C697,0)</x:f>
        <x:v>0</x:v>
      </x:c>
      <x:c r="O697" s="12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>
      <x:c r="A698" s="1"/>
      <x:c r="B698" s="1"/>
      <x:c r="C698" s="14"/>
      <x:c r="D698" s="14"/>
      <x:c r="E698" s="14"/>
      <x:c r="F698" s="14"/>
      <x:c r="G698" s="14"/>
      <x:c r="H698" s="14"/>
      <x:c r="I698" s="14"/>
      <x:c r="J698" s="14"/>
      <x:c r="K698" s="14"/>
      <x:c r="L698" s="12"/>
      <x:c r="M698" s="12"/>
      <x:c r="N698" s="15" t="n">
        <x:f>IF(OR(L698="Operating",L698="Investing",L698="Financing"),C698,0)</x:f>
        <x:v>0</x:v>
      </x:c>
      <x:c r="O698" s="12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>
      <x:c r="A699" s="1"/>
      <x:c r="B699" s="1"/>
      <x:c r="C699" s="14"/>
      <x:c r="D699" s="14"/>
      <x:c r="E699" s="14"/>
      <x:c r="F699" s="14"/>
      <x:c r="G699" s="14"/>
      <x:c r="H699" s="14"/>
      <x:c r="I699" s="14"/>
      <x:c r="J699" s="14"/>
      <x:c r="K699" s="14"/>
      <x:c r="L699" s="12"/>
      <x:c r="M699" s="12"/>
      <x:c r="N699" s="15" t="n">
        <x:f>IF(OR(L699="Operating",L699="Investing",L699="Financing"),C699,0)</x:f>
        <x:v>0</x:v>
      </x:c>
      <x:c r="O699" s="12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>
      <x:c r="A700" s="1"/>
      <x:c r="B700" s="1"/>
      <x:c r="C700" s="14"/>
      <x:c r="D700" s="14"/>
      <x:c r="E700" s="14"/>
      <x:c r="F700" s="14"/>
      <x:c r="G700" s="14"/>
      <x:c r="H700" s="14"/>
      <x:c r="I700" s="14"/>
      <x:c r="J700" s="14"/>
      <x:c r="K700" s="14"/>
      <x:c r="L700" s="12"/>
      <x:c r="M700" s="12"/>
      <x:c r="N700" s="15" t="n">
        <x:f>IF(OR(L700="Operating",L700="Investing",L700="Financing"),C700,0)</x:f>
        <x:v>0</x:v>
      </x:c>
      <x:c r="O700" s="12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>
      <x:c r="A701" s="1"/>
      <x:c r="B701" s="1"/>
      <x:c r="C701" s="14"/>
      <x:c r="D701" s="14"/>
      <x:c r="E701" s="14"/>
      <x:c r="F701" s="14"/>
      <x:c r="G701" s="14"/>
      <x:c r="H701" s="14"/>
      <x:c r="I701" s="14"/>
      <x:c r="J701" s="14"/>
      <x:c r="K701" s="14"/>
      <x:c r="L701" s="12"/>
      <x:c r="M701" s="12"/>
      <x:c r="N701" s="15" t="n">
        <x:f>IF(OR(L701="Operating",L701="Investing",L701="Financing"),C701,0)</x:f>
        <x:v>0</x:v>
      </x:c>
      <x:c r="O701" s="12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>
      <x:c r="A702" s="1"/>
      <x:c r="B702" s="1"/>
      <x:c r="C702" s="14"/>
      <x:c r="D702" s="14"/>
      <x:c r="E702" s="14"/>
      <x:c r="F702" s="14"/>
      <x:c r="G702" s="14"/>
      <x:c r="H702" s="14"/>
      <x:c r="I702" s="14"/>
      <x:c r="J702" s="14"/>
      <x:c r="K702" s="14"/>
      <x:c r="L702" s="12"/>
      <x:c r="M702" s="12"/>
      <x:c r="N702" s="15" t="n">
        <x:f>IF(OR(L702="Operating",L702="Investing",L702="Financing"),C702,0)</x:f>
        <x:v>0</x:v>
      </x:c>
      <x:c r="O702" s="12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>
      <x:c r="A703" s="1"/>
      <x:c r="B703" s="1"/>
      <x:c r="C703" s="14"/>
      <x:c r="D703" s="14"/>
      <x:c r="E703" s="14"/>
      <x:c r="F703" s="14"/>
      <x:c r="G703" s="14"/>
      <x:c r="H703" s="14"/>
      <x:c r="I703" s="14"/>
      <x:c r="J703" s="14"/>
      <x:c r="K703" s="14"/>
      <x:c r="L703" s="12"/>
      <x:c r="M703" s="12"/>
      <x:c r="N703" s="15" t="n">
        <x:f>IF(OR(L703="Operating",L703="Investing",L703="Financing"),C703,0)</x:f>
        <x:v>0</x:v>
      </x:c>
      <x:c r="O703" s="12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>
      <x:c r="A704" s="1"/>
      <x:c r="B704" s="1"/>
      <x:c r="C704" s="14"/>
      <x:c r="D704" s="14"/>
      <x:c r="E704" s="14"/>
      <x:c r="F704" s="14"/>
      <x:c r="G704" s="14"/>
      <x:c r="H704" s="14"/>
      <x:c r="I704" s="14"/>
      <x:c r="J704" s="14"/>
      <x:c r="K704" s="14"/>
      <x:c r="L704" s="12"/>
      <x:c r="M704" s="12"/>
      <x:c r="N704" s="15" t="n">
        <x:f>IF(OR(L704="Operating",L704="Investing",L704="Financing"),C704,0)</x:f>
        <x:v>0</x:v>
      </x:c>
      <x:c r="O704" s="12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>
      <x:c r="A705" s="1"/>
      <x:c r="B705" s="1"/>
      <x:c r="C705" s="14"/>
      <x:c r="D705" s="14"/>
      <x:c r="E705" s="14"/>
      <x:c r="F705" s="14"/>
      <x:c r="G705" s="14"/>
      <x:c r="H705" s="14"/>
      <x:c r="I705" s="14"/>
      <x:c r="J705" s="14"/>
      <x:c r="K705" s="14"/>
      <x:c r="L705" s="12"/>
      <x:c r="M705" s="12"/>
      <x:c r="N705" s="15" t="n">
        <x:f>IF(OR(L705="Operating",L705="Investing",L705="Financing"),C705,0)</x:f>
        <x:v>0</x:v>
      </x:c>
      <x:c r="O705" s="12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>
      <x:c r="A706" s="1"/>
      <x:c r="B706" s="1"/>
      <x:c r="C706" s="14"/>
      <x:c r="D706" s="14"/>
      <x:c r="E706" s="14"/>
      <x:c r="F706" s="14"/>
      <x:c r="G706" s="14"/>
      <x:c r="H706" s="14"/>
      <x:c r="I706" s="14"/>
      <x:c r="J706" s="14"/>
      <x:c r="K706" s="14"/>
      <x:c r="L706" s="12"/>
      <x:c r="M706" s="12"/>
      <x:c r="N706" s="15" t="n">
        <x:f>IF(OR(L706="Operating",L706="Investing",L706="Financing"),C706,0)</x:f>
        <x:v>0</x:v>
      </x:c>
      <x:c r="O706" s="12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>
      <x:c r="A707" s="1"/>
      <x:c r="B707" s="1"/>
      <x:c r="C707" s="14"/>
      <x:c r="D707" s="14"/>
      <x:c r="E707" s="14"/>
      <x:c r="F707" s="14"/>
      <x:c r="G707" s="14"/>
      <x:c r="H707" s="14"/>
      <x:c r="I707" s="14"/>
      <x:c r="J707" s="14"/>
      <x:c r="K707" s="14"/>
      <x:c r="L707" s="12"/>
      <x:c r="M707" s="12"/>
      <x:c r="N707" s="15" t="n">
        <x:f>IF(OR(L707="Operating",L707="Investing",L707="Financing"),C707,0)</x:f>
        <x:v>0</x:v>
      </x:c>
      <x:c r="O707" s="12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>
      <x:c r="A708" s="1"/>
      <x:c r="B708" s="1"/>
      <x:c r="C708" s="14"/>
      <x:c r="D708" s="14"/>
      <x:c r="E708" s="14"/>
      <x:c r="F708" s="14"/>
      <x:c r="G708" s="14"/>
      <x:c r="H708" s="14"/>
      <x:c r="I708" s="14"/>
      <x:c r="J708" s="14"/>
      <x:c r="K708" s="14"/>
      <x:c r="L708" s="12"/>
      <x:c r="M708" s="12"/>
      <x:c r="N708" s="15" t="n">
        <x:f>IF(OR(L708="Operating",L708="Investing",L708="Financing"),C708,0)</x:f>
        <x:v>0</x:v>
      </x:c>
      <x:c r="O708" s="12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>
      <x:c r="A709" s="1"/>
      <x:c r="B709" s="1"/>
      <x:c r="C709" s="14"/>
      <x:c r="D709" s="14"/>
      <x:c r="E709" s="14"/>
      <x:c r="F709" s="14"/>
      <x:c r="G709" s="14"/>
      <x:c r="H709" s="14"/>
      <x:c r="I709" s="14"/>
      <x:c r="J709" s="14"/>
      <x:c r="K709" s="14"/>
      <x:c r="L709" s="12"/>
      <x:c r="M709" s="12"/>
      <x:c r="N709" s="15" t="n">
        <x:f>IF(OR(L709="Operating",L709="Investing",L709="Financing"),C709,0)</x:f>
        <x:v>0</x:v>
      </x:c>
      <x:c r="O709" s="12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>
      <x:c r="A710" s="1"/>
      <x:c r="B710" s="1"/>
      <x:c r="C710" s="14"/>
      <x:c r="D710" s="14"/>
      <x:c r="E710" s="14"/>
      <x:c r="F710" s="14"/>
      <x:c r="G710" s="14"/>
      <x:c r="H710" s="14"/>
      <x:c r="I710" s="14"/>
      <x:c r="J710" s="14"/>
      <x:c r="K710" s="14"/>
      <x:c r="L710" s="12"/>
      <x:c r="M710" s="12"/>
      <x:c r="N710" s="15" t="n">
        <x:f>IF(OR(L710="Operating",L710="Investing",L710="Financing"),C710,0)</x:f>
        <x:v>0</x:v>
      </x:c>
      <x:c r="O710" s="12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>
      <x:c r="A711" s="1"/>
      <x:c r="B711" s="1"/>
      <x:c r="C711" s="14"/>
      <x:c r="D711" s="14"/>
      <x:c r="E711" s="14"/>
      <x:c r="F711" s="14"/>
      <x:c r="G711" s="14"/>
      <x:c r="H711" s="14"/>
      <x:c r="I711" s="14"/>
      <x:c r="J711" s="14"/>
      <x:c r="K711" s="14"/>
      <x:c r="L711" s="12"/>
      <x:c r="M711" s="12"/>
      <x:c r="N711" s="15" t="n">
        <x:f>IF(OR(L711="Operating",L711="Investing",L711="Financing"),C711,0)</x:f>
        <x:v>0</x:v>
      </x:c>
      <x:c r="O711" s="12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>
      <x:c r="A712" s="1"/>
      <x:c r="B712" s="1"/>
      <x:c r="C712" s="14"/>
      <x:c r="D712" s="14"/>
      <x:c r="E712" s="14"/>
      <x:c r="F712" s="14"/>
      <x:c r="G712" s="14"/>
      <x:c r="H712" s="14"/>
      <x:c r="I712" s="14"/>
      <x:c r="J712" s="14"/>
      <x:c r="K712" s="14"/>
      <x:c r="L712" s="12"/>
      <x:c r="M712" s="12"/>
      <x:c r="N712" s="15" t="n">
        <x:f>IF(OR(L712="Operating",L712="Investing",L712="Financing"),C712,0)</x:f>
        <x:v>0</x:v>
      </x:c>
      <x:c r="O712" s="12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>
      <x:c r="A713" s="1"/>
      <x:c r="B713" s="1"/>
      <x:c r="C713" s="14"/>
      <x:c r="D713" s="14"/>
      <x:c r="E713" s="14"/>
      <x:c r="F713" s="14"/>
      <x:c r="G713" s="14"/>
      <x:c r="H713" s="14"/>
      <x:c r="I713" s="14"/>
      <x:c r="J713" s="14"/>
      <x:c r="K713" s="14"/>
      <x:c r="L713" s="12"/>
      <x:c r="M713" s="12"/>
      <x:c r="N713" s="15" t="n">
        <x:f>IF(OR(L713="Operating",L713="Investing",L713="Financing"),C713,0)</x:f>
        <x:v>0</x:v>
      </x:c>
      <x:c r="O713" s="12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>
      <x:c r="A714" s="1"/>
      <x:c r="B714" s="1"/>
      <x:c r="C714" s="14"/>
      <x:c r="D714" s="14"/>
      <x:c r="E714" s="14"/>
      <x:c r="F714" s="14"/>
      <x:c r="G714" s="14"/>
      <x:c r="H714" s="14"/>
      <x:c r="I714" s="14"/>
      <x:c r="J714" s="14"/>
      <x:c r="K714" s="14"/>
      <x:c r="L714" s="12"/>
      <x:c r="M714" s="12"/>
      <x:c r="N714" s="15" t="n">
        <x:f>IF(OR(L714="Operating",L714="Investing",L714="Financing"),C714,0)</x:f>
        <x:v>0</x:v>
      </x:c>
      <x:c r="O714" s="12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>
      <x:c r="A715" s="1"/>
      <x:c r="B715" s="1"/>
      <x:c r="C715" s="14"/>
      <x:c r="D715" s="14"/>
      <x:c r="E715" s="14"/>
      <x:c r="F715" s="14"/>
      <x:c r="G715" s="14"/>
      <x:c r="H715" s="14"/>
      <x:c r="I715" s="14"/>
      <x:c r="J715" s="14"/>
      <x:c r="K715" s="14"/>
      <x:c r="L715" s="12"/>
      <x:c r="M715" s="12"/>
      <x:c r="N715" s="15" t="n">
        <x:f>IF(OR(L715="Operating",L715="Investing",L715="Financing"),C715,0)</x:f>
        <x:v>0</x:v>
      </x:c>
      <x:c r="O715" s="12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>
      <x:c r="A716" s="1"/>
      <x:c r="B716" s="1"/>
      <x:c r="C716" s="14"/>
      <x:c r="D716" s="14"/>
      <x:c r="E716" s="14"/>
      <x:c r="F716" s="14"/>
      <x:c r="G716" s="14"/>
      <x:c r="H716" s="14"/>
      <x:c r="I716" s="14"/>
      <x:c r="J716" s="14"/>
      <x:c r="K716" s="14"/>
      <x:c r="L716" s="12"/>
      <x:c r="M716" s="12"/>
      <x:c r="N716" s="15" t="n">
        <x:f>IF(OR(L716="Operating",L716="Investing",L716="Financing"),C716,0)</x:f>
        <x:v>0</x:v>
      </x:c>
      <x:c r="O716" s="12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>
      <x:c r="A717" s="1"/>
      <x:c r="B717" s="1"/>
      <x:c r="C717" s="14"/>
      <x:c r="D717" s="14"/>
      <x:c r="E717" s="14"/>
      <x:c r="F717" s="14"/>
      <x:c r="G717" s="14"/>
      <x:c r="H717" s="14"/>
      <x:c r="I717" s="14"/>
      <x:c r="J717" s="14"/>
      <x:c r="K717" s="14"/>
      <x:c r="L717" s="12"/>
      <x:c r="M717" s="12"/>
      <x:c r="N717" s="15" t="n">
        <x:f>IF(OR(L717="Operating",L717="Investing",L717="Financing"),C717,0)</x:f>
        <x:v>0</x:v>
      </x:c>
      <x:c r="O717" s="12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>
      <x:c r="A718" s="1"/>
      <x:c r="B718" s="1"/>
      <x:c r="C718" s="14"/>
      <x:c r="D718" s="14"/>
      <x:c r="E718" s="14"/>
      <x:c r="F718" s="14"/>
      <x:c r="G718" s="14"/>
      <x:c r="H718" s="14"/>
      <x:c r="I718" s="14"/>
      <x:c r="J718" s="14"/>
      <x:c r="K718" s="14"/>
      <x:c r="L718" s="12"/>
      <x:c r="M718" s="12"/>
      <x:c r="N718" s="15" t="n">
        <x:f>IF(OR(L718="Operating",L718="Investing",L718="Financing"),C718,0)</x:f>
        <x:v>0</x:v>
      </x:c>
      <x:c r="O718" s="12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>
      <x:c r="A719" s="1"/>
      <x:c r="B719" s="1"/>
      <x:c r="C719" s="14"/>
      <x:c r="D719" s="14"/>
      <x:c r="E719" s="14"/>
      <x:c r="F719" s="14"/>
      <x:c r="G719" s="14"/>
      <x:c r="H719" s="14"/>
      <x:c r="I719" s="14"/>
      <x:c r="J719" s="14"/>
      <x:c r="K719" s="14"/>
      <x:c r="L719" s="12"/>
      <x:c r="M719" s="12"/>
      <x:c r="N719" s="15" t="n">
        <x:f>IF(OR(L719="Operating",L719="Investing",L719="Financing"),C719,0)</x:f>
        <x:v>0</x:v>
      </x:c>
      <x:c r="O719" s="12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>
      <x:c r="A720" s="1"/>
      <x:c r="B720" s="1"/>
      <x:c r="C720" s="14"/>
      <x:c r="D720" s="14"/>
      <x:c r="E720" s="14"/>
      <x:c r="F720" s="14"/>
      <x:c r="G720" s="14"/>
      <x:c r="H720" s="14"/>
      <x:c r="I720" s="14"/>
      <x:c r="J720" s="14"/>
      <x:c r="K720" s="14"/>
      <x:c r="L720" s="12"/>
      <x:c r="M720" s="12"/>
      <x:c r="N720" s="15" t="n">
        <x:f>IF(OR(L720="Operating",L720="Investing",L720="Financing"),C720,0)</x:f>
        <x:v>0</x:v>
      </x:c>
      <x:c r="O720" s="12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>
      <x:c r="A721" s="1"/>
      <x:c r="B721" s="1"/>
      <x:c r="C721" s="14"/>
      <x:c r="D721" s="14"/>
      <x:c r="E721" s="14"/>
      <x:c r="F721" s="14"/>
      <x:c r="G721" s="14"/>
      <x:c r="H721" s="14"/>
      <x:c r="I721" s="14"/>
      <x:c r="J721" s="14"/>
      <x:c r="K721" s="14"/>
      <x:c r="L721" s="12"/>
      <x:c r="M721" s="12"/>
      <x:c r="N721" s="15" t="n">
        <x:f>IF(OR(L721="Operating",L721="Investing",L721="Financing"),C721,0)</x:f>
        <x:v>0</x:v>
      </x:c>
      <x:c r="O721" s="12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>
      <x:c r="A722" s="1"/>
      <x:c r="B722" s="1"/>
      <x:c r="C722" s="14"/>
      <x:c r="D722" s="14"/>
      <x:c r="E722" s="14"/>
      <x:c r="F722" s="14"/>
      <x:c r="G722" s="14"/>
      <x:c r="H722" s="14"/>
      <x:c r="I722" s="14"/>
      <x:c r="J722" s="14"/>
      <x:c r="K722" s="14"/>
      <x:c r="L722" s="12"/>
      <x:c r="M722" s="12"/>
      <x:c r="N722" s="15" t="n">
        <x:f>IF(OR(L722="Operating",L722="Investing",L722="Financing"),C722,0)</x:f>
        <x:v>0</x:v>
      </x:c>
      <x:c r="O722" s="12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>
      <x:c r="A723" s="1"/>
      <x:c r="B723" s="1"/>
      <x:c r="C723" s="14"/>
      <x:c r="D723" s="14"/>
      <x:c r="E723" s="14"/>
      <x:c r="F723" s="14"/>
      <x:c r="G723" s="14"/>
      <x:c r="H723" s="14"/>
      <x:c r="I723" s="14"/>
      <x:c r="J723" s="14"/>
      <x:c r="K723" s="14"/>
      <x:c r="L723" s="12"/>
      <x:c r="M723" s="12"/>
      <x:c r="N723" s="15" t="n">
        <x:f>IF(OR(L723="Operating",L723="Investing",L723="Financing"),C723,0)</x:f>
        <x:v>0</x:v>
      </x:c>
      <x:c r="O723" s="12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>
      <x:c r="A724" s="1"/>
      <x:c r="B724" s="1"/>
      <x:c r="C724" s="14"/>
      <x:c r="D724" s="14"/>
      <x:c r="E724" s="14"/>
      <x:c r="F724" s="14"/>
      <x:c r="G724" s="14"/>
      <x:c r="H724" s="14"/>
      <x:c r="I724" s="14"/>
      <x:c r="J724" s="14"/>
      <x:c r="K724" s="14"/>
      <x:c r="L724" s="12"/>
      <x:c r="M724" s="12"/>
      <x:c r="N724" s="15" t="n">
        <x:f>IF(OR(L724="Operating",L724="Investing",L724="Financing"),C724,0)</x:f>
        <x:v>0</x:v>
      </x:c>
      <x:c r="O724" s="12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>
      <x:c r="A725" s="1"/>
      <x:c r="B725" s="1"/>
      <x:c r="C725" s="14"/>
      <x:c r="D725" s="14"/>
      <x:c r="E725" s="14"/>
      <x:c r="F725" s="14"/>
      <x:c r="G725" s="14"/>
      <x:c r="H725" s="14"/>
      <x:c r="I725" s="14"/>
      <x:c r="J725" s="14"/>
      <x:c r="K725" s="14"/>
      <x:c r="L725" s="12"/>
      <x:c r="M725" s="12"/>
      <x:c r="N725" s="15" t="n">
        <x:f>IF(OR(L725="Operating",L725="Investing",L725="Financing"),C725,0)</x:f>
        <x:v>0</x:v>
      </x:c>
      <x:c r="O725" s="12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>
      <x:c r="A726" s="1"/>
      <x:c r="B726" s="1"/>
      <x:c r="C726" s="14"/>
      <x:c r="D726" s="14"/>
      <x:c r="E726" s="14"/>
      <x:c r="F726" s="14"/>
      <x:c r="G726" s="14"/>
      <x:c r="H726" s="14"/>
      <x:c r="I726" s="14"/>
      <x:c r="J726" s="14"/>
      <x:c r="K726" s="14"/>
      <x:c r="L726" s="12"/>
      <x:c r="M726" s="12"/>
      <x:c r="N726" s="15" t="n">
        <x:f>IF(OR(L726="Operating",L726="Investing",L726="Financing"),C726,0)</x:f>
        <x:v>0</x:v>
      </x:c>
      <x:c r="O726" s="12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>
      <x:c r="A727" s="1"/>
      <x:c r="B727" s="1"/>
      <x:c r="C727" s="14"/>
      <x:c r="D727" s="14"/>
      <x:c r="E727" s="14"/>
      <x:c r="F727" s="14"/>
      <x:c r="G727" s="14"/>
      <x:c r="H727" s="14"/>
      <x:c r="I727" s="14"/>
      <x:c r="J727" s="14"/>
      <x:c r="K727" s="14"/>
      <x:c r="L727" s="12"/>
      <x:c r="M727" s="12"/>
      <x:c r="N727" s="15" t="n">
        <x:f>IF(OR(L727="Operating",L727="Investing",L727="Financing"),C727,0)</x:f>
        <x:v>0</x:v>
      </x:c>
      <x:c r="O727" s="12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>
      <x:c r="A728" s="1"/>
      <x:c r="B728" s="1"/>
      <x:c r="C728" s="14"/>
      <x:c r="D728" s="14"/>
      <x:c r="E728" s="14"/>
      <x:c r="F728" s="14"/>
      <x:c r="G728" s="14"/>
      <x:c r="H728" s="14"/>
      <x:c r="I728" s="14"/>
      <x:c r="J728" s="14"/>
      <x:c r="K728" s="14"/>
      <x:c r="L728" s="12"/>
      <x:c r="M728" s="12"/>
      <x:c r="N728" s="15" t="n">
        <x:f>IF(OR(L728="Operating",L728="Investing",L728="Financing"),C728,0)</x:f>
        <x:v>0</x:v>
      </x:c>
      <x:c r="O728" s="12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>
      <x:c r="A729" s="1"/>
      <x:c r="B729" s="1"/>
      <x:c r="C729" s="14"/>
      <x:c r="D729" s="14"/>
      <x:c r="E729" s="14"/>
      <x:c r="F729" s="14"/>
      <x:c r="G729" s="14"/>
      <x:c r="H729" s="14"/>
      <x:c r="I729" s="14"/>
      <x:c r="J729" s="14"/>
      <x:c r="K729" s="14"/>
      <x:c r="L729" s="12"/>
      <x:c r="M729" s="12"/>
      <x:c r="N729" s="15" t="n">
        <x:f>IF(OR(L729="Operating",L729="Investing",L729="Financing"),C729,0)</x:f>
        <x:v>0</x:v>
      </x:c>
      <x:c r="O729" s="12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>
      <x:c r="A730" s="1"/>
      <x:c r="B730" s="1"/>
      <x:c r="C730" s="14"/>
      <x:c r="D730" s="14"/>
      <x:c r="E730" s="14"/>
      <x:c r="F730" s="14"/>
      <x:c r="G730" s="14"/>
      <x:c r="H730" s="14"/>
      <x:c r="I730" s="14"/>
      <x:c r="J730" s="14"/>
      <x:c r="K730" s="14"/>
      <x:c r="L730" s="12"/>
      <x:c r="M730" s="12"/>
      <x:c r="N730" s="15" t="n">
        <x:f>IF(OR(L730="Operating",L730="Investing",L730="Financing"),C730,0)</x:f>
        <x:v>0</x:v>
      </x:c>
      <x:c r="O730" s="12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>
      <x:c r="A731" s="1"/>
      <x:c r="B731" s="1"/>
      <x:c r="C731" s="14"/>
      <x:c r="D731" s="14"/>
      <x:c r="E731" s="14"/>
      <x:c r="F731" s="14"/>
      <x:c r="G731" s="14"/>
      <x:c r="H731" s="14"/>
      <x:c r="I731" s="14"/>
      <x:c r="J731" s="14"/>
      <x:c r="K731" s="14"/>
      <x:c r="L731" s="12"/>
      <x:c r="M731" s="12"/>
      <x:c r="N731" s="15" t="n">
        <x:f>IF(OR(L731="Operating",L731="Investing",L731="Financing"),C731,0)</x:f>
        <x:v>0</x:v>
      </x:c>
      <x:c r="O731" s="12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>
      <x:c r="A732" s="1"/>
      <x:c r="B732" s="1"/>
      <x:c r="C732" s="14"/>
      <x:c r="D732" s="14"/>
      <x:c r="E732" s="14"/>
      <x:c r="F732" s="14"/>
      <x:c r="G732" s="14"/>
      <x:c r="H732" s="14"/>
      <x:c r="I732" s="14"/>
      <x:c r="J732" s="14"/>
      <x:c r="K732" s="14"/>
      <x:c r="L732" s="12"/>
      <x:c r="M732" s="12"/>
      <x:c r="N732" s="15" t="n">
        <x:f>IF(OR(L732="Operating",L732="Investing",L732="Financing"),C732,0)</x:f>
        <x:v>0</x:v>
      </x:c>
      <x:c r="O732" s="12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>
      <x:c r="A733" s="1"/>
      <x:c r="B733" s="1"/>
      <x:c r="C733" s="14"/>
      <x:c r="D733" s="14"/>
      <x:c r="E733" s="14"/>
      <x:c r="F733" s="14"/>
      <x:c r="G733" s="14"/>
      <x:c r="H733" s="14"/>
      <x:c r="I733" s="14"/>
      <x:c r="J733" s="14"/>
      <x:c r="K733" s="14"/>
      <x:c r="L733" s="12"/>
      <x:c r="M733" s="12"/>
      <x:c r="N733" s="15" t="n">
        <x:f>IF(OR(L733="Operating",L733="Investing",L733="Financing"),C733,0)</x:f>
        <x:v>0</x:v>
      </x:c>
      <x:c r="O733" s="12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>
      <x:c r="A734" s="1"/>
      <x:c r="B734" s="1"/>
      <x:c r="C734" s="14"/>
      <x:c r="D734" s="14"/>
      <x:c r="E734" s="14"/>
      <x:c r="F734" s="14"/>
      <x:c r="G734" s="14"/>
      <x:c r="H734" s="14"/>
      <x:c r="I734" s="14"/>
      <x:c r="J734" s="14"/>
      <x:c r="K734" s="14"/>
      <x:c r="L734" s="12"/>
      <x:c r="M734" s="12"/>
      <x:c r="N734" s="15" t="n">
        <x:f>IF(OR(L734="Operating",L734="Investing",L734="Financing"),C734,0)</x:f>
        <x:v>0</x:v>
      </x:c>
      <x:c r="O734" s="12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>
      <x:c r="A735" s="1"/>
      <x:c r="B735" s="1"/>
      <x:c r="C735" s="14"/>
      <x:c r="D735" s="14"/>
      <x:c r="E735" s="14"/>
      <x:c r="F735" s="14"/>
      <x:c r="G735" s="14"/>
      <x:c r="H735" s="14"/>
      <x:c r="I735" s="14"/>
      <x:c r="J735" s="14"/>
      <x:c r="K735" s="14"/>
      <x:c r="L735" s="12"/>
      <x:c r="M735" s="12"/>
      <x:c r="N735" s="15" t="n">
        <x:f>IF(OR(L735="Operating",L735="Investing",L735="Financing"),C735,0)</x:f>
        <x:v>0</x:v>
      </x:c>
      <x:c r="O735" s="12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>
      <x:c r="A736" s="1"/>
      <x:c r="B736" s="1"/>
      <x:c r="C736" s="14"/>
      <x:c r="D736" s="14"/>
      <x:c r="E736" s="14"/>
      <x:c r="F736" s="14"/>
      <x:c r="G736" s="14"/>
      <x:c r="H736" s="14"/>
      <x:c r="I736" s="14"/>
      <x:c r="J736" s="14"/>
      <x:c r="K736" s="14"/>
      <x:c r="L736" s="12"/>
      <x:c r="M736" s="12"/>
      <x:c r="N736" s="15" t="n">
        <x:f>IF(OR(L736="Operating",L736="Investing",L736="Financing"),C736,0)</x:f>
        <x:v>0</x:v>
      </x:c>
      <x:c r="O736" s="12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>
      <x:c r="A737" s="1"/>
      <x:c r="B737" s="1"/>
      <x:c r="C737" s="14"/>
      <x:c r="D737" s="14"/>
      <x:c r="E737" s="14"/>
      <x:c r="F737" s="14"/>
      <x:c r="G737" s="14"/>
      <x:c r="H737" s="14"/>
      <x:c r="I737" s="14"/>
      <x:c r="J737" s="14"/>
      <x:c r="K737" s="14"/>
      <x:c r="L737" s="12"/>
      <x:c r="M737" s="12"/>
      <x:c r="N737" s="15" t="n">
        <x:f>IF(OR(L737="Operating",L737="Investing",L737="Financing"),C737,0)</x:f>
        <x:v>0</x:v>
      </x:c>
      <x:c r="O737" s="12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>
      <x:c r="A738" s="1"/>
      <x:c r="B738" s="1"/>
      <x:c r="C738" s="14"/>
      <x:c r="D738" s="14"/>
      <x:c r="E738" s="14"/>
      <x:c r="F738" s="14"/>
      <x:c r="G738" s="14"/>
      <x:c r="H738" s="14"/>
      <x:c r="I738" s="14"/>
      <x:c r="J738" s="14"/>
      <x:c r="K738" s="14"/>
      <x:c r="L738" s="12"/>
      <x:c r="M738" s="12"/>
      <x:c r="N738" s="15" t="n">
        <x:f>IF(OR(L738="Operating",L738="Investing",L738="Financing"),C738,0)</x:f>
        <x:v>0</x:v>
      </x:c>
      <x:c r="O738" s="12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>
      <x:c r="A739" s="1"/>
      <x:c r="B739" s="1"/>
      <x:c r="C739" s="14"/>
      <x:c r="D739" s="14"/>
      <x:c r="E739" s="14"/>
      <x:c r="F739" s="14"/>
      <x:c r="G739" s="14"/>
      <x:c r="H739" s="14"/>
      <x:c r="I739" s="14"/>
      <x:c r="J739" s="14"/>
      <x:c r="K739" s="14"/>
      <x:c r="L739" s="12"/>
      <x:c r="M739" s="12"/>
      <x:c r="N739" s="15" t="n">
        <x:f>IF(OR(L739="Operating",L739="Investing",L739="Financing"),C739,0)</x:f>
        <x:v>0</x:v>
      </x:c>
      <x:c r="O739" s="12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>
      <x:c r="A740" s="1"/>
      <x:c r="B740" s="1"/>
      <x:c r="C740" s="14"/>
      <x:c r="D740" s="14"/>
      <x:c r="E740" s="14"/>
      <x:c r="F740" s="14"/>
      <x:c r="G740" s="14"/>
      <x:c r="H740" s="14"/>
      <x:c r="I740" s="14"/>
      <x:c r="J740" s="14"/>
      <x:c r="K740" s="14"/>
      <x:c r="L740" s="12"/>
      <x:c r="M740" s="12"/>
      <x:c r="N740" s="15" t="n">
        <x:f>IF(OR(L740="Operating",L740="Investing",L740="Financing"),C740,0)</x:f>
        <x:v>0</x:v>
      </x:c>
      <x:c r="O740" s="12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>
      <x:c r="A741" s="1"/>
      <x:c r="B741" s="1"/>
      <x:c r="C741" s="14"/>
      <x:c r="D741" s="14"/>
      <x:c r="E741" s="14"/>
      <x:c r="F741" s="14"/>
      <x:c r="G741" s="14"/>
      <x:c r="H741" s="14"/>
      <x:c r="I741" s="14"/>
      <x:c r="J741" s="14"/>
      <x:c r="K741" s="14"/>
      <x:c r="L741" s="12"/>
      <x:c r="M741" s="12"/>
      <x:c r="N741" s="15" t="n">
        <x:f>IF(OR(L741="Operating",L741="Investing",L741="Financing"),C741,0)</x:f>
        <x:v>0</x:v>
      </x:c>
      <x:c r="O741" s="12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>
      <x:c r="A742" s="1"/>
      <x:c r="B742" s="1"/>
      <x:c r="C742" s="14"/>
      <x:c r="D742" s="14"/>
      <x:c r="E742" s="14"/>
      <x:c r="F742" s="14"/>
      <x:c r="G742" s="14"/>
      <x:c r="H742" s="14"/>
      <x:c r="I742" s="14"/>
      <x:c r="J742" s="14"/>
      <x:c r="K742" s="14"/>
      <x:c r="L742" s="12"/>
      <x:c r="M742" s="12"/>
      <x:c r="N742" s="15" t="n">
        <x:f>IF(OR(L742="Operating",L742="Investing",L742="Financing"),C742,0)</x:f>
        <x:v>0</x:v>
      </x:c>
      <x:c r="O742" s="12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>
      <x:c r="A743" s="1"/>
      <x:c r="B743" s="1"/>
      <x:c r="C743" s="14"/>
      <x:c r="D743" s="14"/>
      <x:c r="E743" s="14"/>
      <x:c r="F743" s="14"/>
      <x:c r="G743" s="14"/>
      <x:c r="H743" s="14"/>
      <x:c r="I743" s="14"/>
      <x:c r="J743" s="14"/>
      <x:c r="K743" s="14"/>
      <x:c r="L743" s="12"/>
      <x:c r="M743" s="12"/>
      <x:c r="N743" s="15" t="n">
        <x:f>IF(OR(L743="Operating",L743="Investing",L743="Financing"),C743,0)</x:f>
        <x:v>0</x:v>
      </x:c>
      <x:c r="O743" s="12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>
      <x:c r="A744" s="1"/>
      <x:c r="B744" s="1"/>
      <x:c r="C744" s="14"/>
      <x:c r="D744" s="14"/>
      <x:c r="E744" s="14"/>
      <x:c r="F744" s="14"/>
      <x:c r="G744" s="14"/>
      <x:c r="H744" s="14"/>
      <x:c r="I744" s="14"/>
      <x:c r="J744" s="14"/>
      <x:c r="K744" s="14"/>
      <x:c r="L744" s="12"/>
      <x:c r="M744" s="12"/>
      <x:c r="N744" s="15" t="n">
        <x:f>IF(OR(L744="Operating",L744="Investing",L744="Financing"),C744,0)</x:f>
        <x:v>0</x:v>
      </x:c>
      <x:c r="O744" s="12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>
      <x:c r="A745" s="1"/>
      <x:c r="B745" s="1"/>
      <x:c r="C745" s="14"/>
      <x:c r="D745" s="14"/>
      <x:c r="E745" s="14"/>
      <x:c r="F745" s="14"/>
      <x:c r="G745" s="14"/>
      <x:c r="H745" s="14"/>
      <x:c r="I745" s="14"/>
      <x:c r="J745" s="14"/>
      <x:c r="K745" s="14"/>
      <x:c r="L745" s="12"/>
      <x:c r="M745" s="12"/>
      <x:c r="N745" s="15" t="n">
        <x:f>IF(OR(L745="Operating",L745="Investing",L745="Financing"),C745,0)</x:f>
        <x:v>0</x:v>
      </x:c>
      <x:c r="O745" s="12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>
      <x:c r="A746" s="1"/>
      <x:c r="B746" s="1"/>
      <x:c r="C746" s="14"/>
      <x:c r="D746" s="14"/>
      <x:c r="E746" s="14"/>
      <x:c r="F746" s="14"/>
      <x:c r="G746" s="14"/>
      <x:c r="H746" s="14"/>
      <x:c r="I746" s="14"/>
      <x:c r="J746" s="14"/>
      <x:c r="K746" s="14"/>
      <x:c r="L746" s="12"/>
      <x:c r="M746" s="12"/>
      <x:c r="N746" s="15" t="n">
        <x:f>IF(OR(L746="Operating",L746="Investing",L746="Financing"),C746,0)</x:f>
        <x:v>0</x:v>
      </x:c>
      <x:c r="O746" s="12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>
      <x:c r="A747" s="1"/>
      <x:c r="B747" s="1"/>
      <x:c r="C747" s="14"/>
      <x:c r="D747" s="14"/>
      <x:c r="E747" s="14"/>
      <x:c r="F747" s="14"/>
      <x:c r="G747" s="14"/>
      <x:c r="H747" s="14"/>
      <x:c r="I747" s="14"/>
      <x:c r="J747" s="14"/>
      <x:c r="K747" s="14"/>
      <x:c r="L747" s="12"/>
      <x:c r="M747" s="12"/>
      <x:c r="N747" s="15" t="n">
        <x:f>IF(OR(L747="Operating",L747="Investing",L747="Financing"),C747,0)</x:f>
        <x:v>0</x:v>
      </x:c>
      <x:c r="O747" s="12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>
      <x:c r="A748" s="1"/>
      <x:c r="B748" s="1"/>
      <x:c r="C748" s="14"/>
      <x:c r="D748" s="14"/>
      <x:c r="E748" s="14"/>
      <x:c r="F748" s="14"/>
      <x:c r="G748" s="14"/>
      <x:c r="H748" s="14"/>
      <x:c r="I748" s="14"/>
      <x:c r="J748" s="14"/>
      <x:c r="K748" s="14"/>
      <x:c r="L748" s="12"/>
      <x:c r="M748" s="12"/>
      <x:c r="N748" s="15" t="n">
        <x:f>IF(OR(L748="Operating",L748="Investing",L748="Financing"),C748,0)</x:f>
        <x:v>0</x:v>
      </x:c>
      <x:c r="O748" s="12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>
      <x:c r="A749" s="1"/>
      <x:c r="B749" s="1"/>
      <x:c r="C749" s="14"/>
      <x:c r="D749" s="14"/>
      <x:c r="E749" s="14"/>
      <x:c r="F749" s="14"/>
      <x:c r="G749" s="14"/>
      <x:c r="H749" s="14"/>
      <x:c r="I749" s="14"/>
      <x:c r="J749" s="14"/>
      <x:c r="K749" s="14"/>
      <x:c r="L749" s="12"/>
      <x:c r="M749" s="12"/>
      <x:c r="N749" s="15" t="n">
        <x:f>IF(OR(L749="Operating",L749="Investing",L749="Financing"),C749,0)</x:f>
        <x:v>0</x:v>
      </x:c>
      <x:c r="O749" s="12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>
      <x:c r="A750" s="1"/>
      <x:c r="B750" s="1"/>
      <x:c r="C750" s="14"/>
      <x:c r="D750" s="14"/>
      <x:c r="E750" s="14"/>
      <x:c r="F750" s="14"/>
      <x:c r="G750" s="14"/>
      <x:c r="H750" s="14"/>
      <x:c r="I750" s="14"/>
      <x:c r="J750" s="14"/>
      <x:c r="K750" s="14"/>
      <x:c r="L750" s="12"/>
      <x:c r="M750" s="12"/>
      <x:c r="N750" s="15" t="n">
        <x:f>IF(OR(L750="Operating",L750="Investing",L750="Financing"),C750,0)</x:f>
        <x:v>0</x:v>
      </x:c>
      <x:c r="O750" s="12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>
      <x:c r="A751" s="1"/>
      <x:c r="B751" s="1"/>
      <x:c r="C751" s="14"/>
      <x:c r="D751" s="14"/>
      <x:c r="E751" s="14"/>
      <x:c r="F751" s="14"/>
      <x:c r="G751" s="14"/>
      <x:c r="H751" s="14"/>
      <x:c r="I751" s="14"/>
      <x:c r="J751" s="14"/>
      <x:c r="K751" s="14"/>
      <x:c r="L751" s="12"/>
      <x:c r="M751" s="12"/>
      <x:c r="N751" s="15" t="n">
        <x:f>IF(OR(L751="Operating",L751="Investing",L751="Financing"),C751,0)</x:f>
        <x:v>0</x:v>
      </x:c>
      <x:c r="O751" s="12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>
      <x:c r="A752" s="1"/>
      <x:c r="B752" s="1"/>
      <x:c r="C752" s="14"/>
      <x:c r="D752" s="14"/>
      <x:c r="E752" s="14"/>
      <x:c r="F752" s="14"/>
      <x:c r="G752" s="14"/>
      <x:c r="H752" s="14"/>
      <x:c r="I752" s="14"/>
      <x:c r="J752" s="14"/>
      <x:c r="K752" s="14"/>
      <x:c r="L752" s="12"/>
      <x:c r="M752" s="12"/>
      <x:c r="N752" s="15" t="n">
        <x:f>IF(OR(L752="Operating",L752="Investing",L752="Financing"),C752,0)</x:f>
        <x:v>0</x:v>
      </x:c>
      <x:c r="O752" s="12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>
      <x:c r="A753" s="1"/>
      <x:c r="B753" s="1"/>
      <x:c r="C753" s="14"/>
      <x:c r="D753" s="14"/>
      <x:c r="E753" s="14"/>
      <x:c r="F753" s="14"/>
      <x:c r="G753" s="14"/>
      <x:c r="H753" s="14"/>
      <x:c r="I753" s="14"/>
      <x:c r="J753" s="14"/>
      <x:c r="K753" s="14"/>
      <x:c r="L753" s="12"/>
      <x:c r="M753" s="12"/>
      <x:c r="N753" s="15" t="n">
        <x:f>IF(OR(L753="Operating",L753="Investing",L753="Financing"),C753,0)</x:f>
        <x:v>0</x:v>
      </x:c>
      <x:c r="O753" s="12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>
      <x:c r="A754" s="1"/>
      <x:c r="B754" s="1"/>
      <x:c r="C754" s="14"/>
      <x:c r="D754" s="14"/>
      <x:c r="E754" s="14"/>
      <x:c r="F754" s="14"/>
      <x:c r="G754" s="14"/>
      <x:c r="H754" s="14"/>
      <x:c r="I754" s="14"/>
      <x:c r="J754" s="14"/>
      <x:c r="K754" s="14"/>
      <x:c r="L754" s="12"/>
      <x:c r="M754" s="12"/>
      <x:c r="N754" s="15" t="n">
        <x:f>IF(OR(L754="Operating",L754="Investing",L754="Financing"),C754,0)</x:f>
        <x:v>0</x:v>
      </x:c>
      <x:c r="O754" s="12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>
      <x:c r="A755" s="1"/>
      <x:c r="B755" s="1"/>
      <x:c r="C755" s="14"/>
      <x:c r="D755" s="14"/>
      <x:c r="E755" s="14"/>
      <x:c r="F755" s="14"/>
      <x:c r="G755" s="14"/>
      <x:c r="H755" s="14"/>
      <x:c r="I755" s="14"/>
      <x:c r="J755" s="14"/>
      <x:c r="K755" s="14"/>
      <x:c r="L755" s="12"/>
      <x:c r="M755" s="12"/>
      <x:c r="N755" s="15" t="n">
        <x:f>IF(OR(L755="Operating",L755="Investing",L755="Financing"),C755,0)</x:f>
        <x:v>0</x:v>
      </x:c>
      <x:c r="O755" s="12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>
      <x:c r="A756" s="1"/>
      <x:c r="B756" s="1"/>
      <x:c r="C756" s="14"/>
      <x:c r="D756" s="14"/>
      <x:c r="E756" s="14"/>
      <x:c r="F756" s="14"/>
      <x:c r="G756" s="14"/>
      <x:c r="H756" s="14"/>
      <x:c r="I756" s="14"/>
      <x:c r="J756" s="14"/>
      <x:c r="K756" s="14"/>
      <x:c r="L756" s="12"/>
      <x:c r="M756" s="12"/>
      <x:c r="N756" s="15" t="n">
        <x:f>IF(OR(L756="Operating",L756="Investing",L756="Financing"),C756,0)</x:f>
        <x:v>0</x:v>
      </x:c>
      <x:c r="O756" s="12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>
      <x:c r="A757" s="1"/>
      <x:c r="B757" s="1"/>
      <x:c r="C757" s="14"/>
      <x:c r="D757" s="14"/>
      <x:c r="E757" s="14"/>
      <x:c r="F757" s="14"/>
      <x:c r="G757" s="14"/>
      <x:c r="H757" s="14"/>
      <x:c r="I757" s="14"/>
      <x:c r="J757" s="14"/>
      <x:c r="K757" s="14"/>
      <x:c r="L757" s="12"/>
      <x:c r="M757" s="12"/>
      <x:c r="N757" s="15" t="n">
        <x:f>IF(OR(L757="Operating",L757="Investing",L757="Financing"),C757,0)</x:f>
        <x:v>0</x:v>
      </x:c>
      <x:c r="O757" s="12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>
      <x:c r="A758" s="1"/>
      <x:c r="B758" s="1"/>
      <x:c r="C758" s="14"/>
      <x:c r="D758" s="14"/>
      <x:c r="E758" s="14"/>
      <x:c r="F758" s="14"/>
      <x:c r="G758" s="14"/>
      <x:c r="H758" s="14"/>
      <x:c r="I758" s="14"/>
      <x:c r="J758" s="14"/>
      <x:c r="K758" s="14"/>
      <x:c r="L758" s="12"/>
      <x:c r="M758" s="12"/>
      <x:c r="N758" s="15" t="n">
        <x:f>IF(OR(L758="Operating",L758="Investing",L758="Financing"),C758,0)</x:f>
        <x:v>0</x:v>
      </x:c>
      <x:c r="O758" s="12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>
      <x:c r="A759" s="1"/>
      <x:c r="B759" s="1"/>
      <x:c r="C759" s="14"/>
      <x:c r="D759" s="14"/>
      <x:c r="E759" s="14"/>
      <x:c r="F759" s="14"/>
      <x:c r="G759" s="14"/>
      <x:c r="H759" s="14"/>
      <x:c r="I759" s="14"/>
      <x:c r="J759" s="14"/>
      <x:c r="K759" s="14"/>
      <x:c r="L759" s="12"/>
      <x:c r="M759" s="12"/>
      <x:c r="N759" s="15" t="n">
        <x:f>IF(OR(L759="Operating",L759="Investing",L759="Financing"),C759,0)</x:f>
        <x:v>0</x:v>
      </x:c>
      <x:c r="O759" s="12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>
      <x:c r="A760" s="1"/>
      <x:c r="B760" s="1"/>
      <x:c r="C760" s="14"/>
      <x:c r="D760" s="14"/>
      <x:c r="E760" s="14"/>
      <x:c r="F760" s="14"/>
      <x:c r="G760" s="14"/>
      <x:c r="H760" s="14"/>
      <x:c r="I760" s="14"/>
      <x:c r="J760" s="14"/>
      <x:c r="K760" s="14"/>
      <x:c r="L760" s="12"/>
      <x:c r="M760" s="12"/>
      <x:c r="N760" s="15" t="n">
        <x:f>IF(OR(L760="Operating",L760="Investing",L760="Financing"),C760,0)</x:f>
        <x:v>0</x:v>
      </x:c>
      <x:c r="O760" s="12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>
      <x:c r="A761" s="1"/>
      <x:c r="B761" s="1"/>
      <x:c r="C761" s="14"/>
      <x:c r="D761" s="14"/>
      <x:c r="E761" s="14"/>
      <x:c r="F761" s="14"/>
      <x:c r="G761" s="14"/>
      <x:c r="H761" s="14"/>
      <x:c r="I761" s="14"/>
      <x:c r="J761" s="14"/>
      <x:c r="K761" s="14"/>
      <x:c r="L761" s="12"/>
      <x:c r="M761" s="12"/>
      <x:c r="N761" s="15" t="n">
        <x:f>IF(OR(L761="Operating",L761="Investing",L761="Financing"),C761,0)</x:f>
        <x:v>0</x:v>
      </x:c>
      <x:c r="O761" s="12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>
      <x:c r="A762" s="1"/>
      <x:c r="B762" s="1"/>
      <x:c r="C762" s="14"/>
      <x:c r="D762" s="14"/>
      <x:c r="E762" s="14"/>
      <x:c r="F762" s="14"/>
      <x:c r="G762" s="14"/>
      <x:c r="H762" s="14"/>
      <x:c r="I762" s="14"/>
      <x:c r="J762" s="14"/>
      <x:c r="K762" s="14"/>
      <x:c r="L762" s="12"/>
      <x:c r="M762" s="12"/>
      <x:c r="N762" s="15" t="n">
        <x:f>IF(OR(L762="Operating",L762="Investing",L762="Financing"),C762,0)</x:f>
        <x:v>0</x:v>
      </x:c>
      <x:c r="O762" s="12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>
      <x:c r="A763" s="1"/>
      <x:c r="B763" s="1"/>
      <x:c r="C763" s="14"/>
      <x:c r="D763" s="14"/>
      <x:c r="E763" s="14"/>
      <x:c r="F763" s="14"/>
      <x:c r="G763" s="14"/>
      <x:c r="H763" s="14"/>
      <x:c r="I763" s="14"/>
      <x:c r="J763" s="14"/>
      <x:c r="K763" s="14"/>
      <x:c r="L763" s="12"/>
      <x:c r="M763" s="12"/>
      <x:c r="N763" s="15" t="n">
        <x:f>IF(OR(L763="Operating",L763="Investing",L763="Financing"),C763,0)</x:f>
        <x:v>0</x:v>
      </x:c>
      <x:c r="O763" s="12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>
      <x:c r="A764" s="1"/>
      <x:c r="B764" s="1"/>
      <x:c r="C764" s="14"/>
      <x:c r="D764" s="14"/>
      <x:c r="E764" s="14"/>
      <x:c r="F764" s="14"/>
      <x:c r="G764" s="14"/>
      <x:c r="H764" s="14"/>
      <x:c r="I764" s="14"/>
      <x:c r="J764" s="14"/>
      <x:c r="K764" s="14"/>
      <x:c r="L764" s="12"/>
      <x:c r="M764" s="12"/>
      <x:c r="N764" s="15" t="n">
        <x:f>IF(OR(L764="Operating",L764="Investing",L764="Financing"),C764,0)</x:f>
        <x:v>0</x:v>
      </x:c>
      <x:c r="O764" s="12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>
      <x:c r="A765" s="1"/>
      <x:c r="B765" s="1"/>
      <x:c r="C765" s="14"/>
      <x:c r="D765" s="14"/>
      <x:c r="E765" s="14"/>
      <x:c r="F765" s="14"/>
      <x:c r="G765" s="14"/>
      <x:c r="H765" s="14"/>
      <x:c r="I765" s="14"/>
      <x:c r="J765" s="14"/>
      <x:c r="K765" s="14"/>
      <x:c r="L765" s="12"/>
      <x:c r="M765" s="12"/>
      <x:c r="N765" s="15" t="n">
        <x:f>IF(OR(L765="Operating",L765="Investing",L765="Financing"),C765,0)</x:f>
        <x:v>0</x:v>
      </x:c>
      <x:c r="O765" s="12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>
      <x:c r="A766" s="1"/>
      <x:c r="B766" s="1"/>
      <x:c r="C766" s="14"/>
      <x:c r="D766" s="14"/>
      <x:c r="E766" s="14"/>
      <x:c r="F766" s="14"/>
      <x:c r="G766" s="14"/>
      <x:c r="H766" s="14"/>
      <x:c r="I766" s="14"/>
      <x:c r="J766" s="14"/>
      <x:c r="K766" s="14"/>
      <x:c r="L766" s="12"/>
      <x:c r="M766" s="12"/>
      <x:c r="N766" s="15" t="n">
        <x:f>IF(OR(L766="Operating",L766="Investing",L766="Financing"),C766,0)</x:f>
        <x:v>0</x:v>
      </x:c>
      <x:c r="O766" s="12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>
      <x:c r="A767" s="1"/>
      <x:c r="B767" s="1"/>
      <x:c r="C767" s="14"/>
      <x:c r="D767" s="14"/>
      <x:c r="E767" s="14"/>
      <x:c r="F767" s="14"/>
      <x:c r="G767" s="14"/>
      <x:c r="H767" s="14"/>
      <x:c r="I767" s="14"/>
      <x:c r="J767" s="14"/>
      <x:c r="K767" s="14"/>
      <x:c r="L767" s="12"/>
      <x:c r="M767" s="12"/>
      <x:c r="N767" s="15" t="n">
        <x:f>IF(OR(L767="Operating",L767="Investing",L767="Financing"),C767,0)</x:f>
        <x:v>0</x:v>
      </x:c>
      <x:c r="O767" s="12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>
      <x:c r="A768" s="1"/>
      <x:c r="B768" s="1"/>
      <x:c r="C768" s="14"/>
      <x:c r="D768" s="14"/>
      <x:c r="E768" s="14"/>
      <x:c r="F768" s="14"/>
      <x:c r="G768" s="14"/>
      <x:c r="H768" s="14"/>
      <x:c r="I768" s="14"/>
      <x:c r="J768" s="14"/>
      <x:c r="K768" s="14"/>
      <x:c r="L768" s="12"/>
      <x:c r="M768" s="12"/>
      <x:c r="N768" s="15" t="n">
        <x:f>IF(OR(L768="Operating",L768="Investing",L768="Financing"),C768,0)</x:f>
        <x:v>0</x:v>
      </x:c>
      <x:c r="O768" s="12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>
      <x:c r="A769" s="1"/>
      <x:c r="B769" s="1"/>
      <x:c r="C769" s="14"/>
      <x:c r="D769" s="14"/>
      <x:c r="E769" s="14"/>
      <x:c r="F769" s="14"/>
      <x:c r="G769" s="14"/>
      <x:c r="H769" s="14"/>
      <x:c r="I769" s="14"/>
      <x:c r="J769" s="14"/>
      <x:c r="K769" s="14"/>
      <x:c r="L769" s="12"/>
      <x:c r="M769" s="12"/>
      <x:c r="N769" s="15" t="n">
        <x:f>IF(OR(L769="Operating",L769="Investing",L769="Financing"),C769,0)</x:f>
        <x:v>0</x:v>
      </x:c>
      <x:c r="O769" s="12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>
      <x:c r="A770" s="1"/>
      <x:c r="B770" s="1"/>
      <x:c r="C770" s="14"/>
      <x:c r="D770" s="14"/>
      <x:c r="E770" s="14"/>
      <x:c r="F770" s="14"/>
      <x:c r="G770" s="14"/>
      <x:c r="H770" s="14"/>
      <x:c r="I770" s="14"/>
      <x:c r="J770" s="14"/>
      <x:c r="K770" s="14"/>
      <x:c r="L770" s="12"/>
      <x:c r="M770" s="12"/>
      <x:c r="N770" s="15" t="n">
        <x:f>IF(OR(L770="Operating",L770="Investing",L770="Financing"),C770,0)</x:f>
        <x:v>0</x:v>
      </x:c>
      <x:c r="O770" s="12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>
      <x:c r="A771" s="1"/>
      <x:c r="B771" s="1"/>
      <x:c r="C771" s="14"/>
      <x:c r="D771" s="14"/>
      <x:c r="E771" s="14"/>
      <x:c r="F771" s="14"/>
      <x:c r="G771" s="14"/>
      <x:c r="H771" s="14"/>
      <x:c r="I771" s="14"/>
      <x:c r="J771" s="14"/>
      <x:c r="K771" s="14"/>
      <x:c r="L771" s="12"/>
      <x:c r="M771" s="12"/>
      <x:c r="N771" s="15" t="n">
        <x:f>IF(OR(L771="Operating",L771="Investing",L771="Financing"),C771,0)</x:f>
        <x:v>0</x:v>
      </x:c>
      <x:c r="O771" s="12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>
      <x:c r="A772" s="1"/>
      <x:c r="B772" s="1"/>
      <x:c r="C772" s="14"/>
      <x:c r="D772" s="14"/>
      <x:c r="E772" s="14"/>
      <x:c r="F772" s="14"/>
      <x:c r="G772" s="14"/>
      <x:c r="H772" s="14"/>
      <x:c r="I772" s="14"/>
      <x:c r="J772" s="14"/>
      <x:c r="K772" s="14"/>
      <x:c r="L772" s="12"/>
      <x:c r="M772" s="12"/>
      <x:c r="N772" s="15" t="n">
        <x:f>IF(OR(L772="Operating",L772="Investing",L772="Financing"),C772,0)</x:f>
        <x:v>0</x:v>
      </x:c>
      <x:c r="O772" s="12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>
      <x:c r="A773" s="1"/>
      <x:c r="B773" s="1"/>
      <x:c r="C773" s="14"/>
      <x:c r="D773" s="14"/>
      <x:c r="E773" s="14"/>
      <x:c r="F773" s="14"/>
      <x:c r="G773" s="14"/>
      <x:c r="H773" s="14"/>
      <x:c r="I773" s="14"/>
      <x:c r="J773" s="14"/>
      <x:c r="K773" s="14"/>
      <x:c r="L773" s="12"/>
      <x:c r="M773" s="12"/>
      <x:c r="N773" s="15" t="n">
        <x:f>IF(OR(L773="Operating",L773="Investing",L773="Financing"),C773,0)</x:f>
        <x:v>0</x:v>
      </x:c>
      <x:c r="O773" s="12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>
      <x:c r="A774" s="1"/>
      <x:c r="B774" s="1"/>
      <x:c r="C774" s="14"/>
      <x:c r="D774" s="14"/>
      <x:c r="E774" s="14"/>
      <x:c r="F774" s="14"/>
      <x:c r="G774" s="14"/>
      <x:c r="H774" s="14"/>
      <x:c r="I774" s="14"/>
      <x:c r="J774" s="14"/>
      <x:c r="K774" s="14"/>
      <x:c r="L774" s="12"/>
      <x:c r="M774" s="12"/>
      <x:c r="N774" s="15" t="n">
        <x:f>IF(OR(L774="Operating",L774="Investing",L774="Financing"),C774,0)</x:f>
        <x:v>0</x:v>
      </x:c>
      <x:c r="O774" s="12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>
      <x:c r="A775" s="1"/>
      <x:c r="B775" s="1"/>
      <x:c r="C775" s="14"/>
      <x:c r="D775" s="14"/>
      <x:c r="E775" s="14"/>
      <x:c r="F775" s="14"/>
      <x:c r="G775" s="14"/>
      <x:c r="H775" s="14"/>
      <x:c r="I775" s="14"/>
      <x:c r="J775" s="14"/>
      <x:c r="K775" s="14"/>
      <x:c r="L775" s="12"/>
      <x:c r="M775" s="12"/>
      <x:c r="N775" s="15" t="n">
        <x:f>IF(OR(L775="Operating",L775="Investing",L775="Financing"),C775,0)</x:f>
        <x:v>0</x:v>
      </x:c>
      <x:c r="O775" s="12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>
      <x:c r="A776" s="1"/>
      <x:c r="B776" s="1"/>
      <x:c r="C776" s="14"/>
      <x:c r="D776" s="14"/>
      <x:c r="E776" s="14"/>
      <x:c r="F776" s="14"/>
      <x:c r="G776" s="14"/>
      <x:c r="H776" s="14"/>
      <x:c r="I776" s="14"/>
      <x:c r="J776" s="14"/>
      <x:c r="K776" s="14"/>
      <x:c r="L776" s="12"/>
      <x:c r="M776" s="12"/>
      <x:c r="N776" s="15" t="n">
        <x:f>IF(OR(L776="Operating",L776="Investing",L776="Financing"),C776,0)</x:f>
        <x:v>0</x:v>
      </x:c>
      <x:c r="O776" s="12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>
      <x:c r="A777" s="1"/>
      <x:c r="B777" s="1"/>
      <x:c r="C777" s="14"/>
      <x:c r="D777" s="14"/>
      <x:c r="E777" s="14"/>
      <x:c r="F777" s="14"/>
      <x:c r="G777" s="14"/>
      <x:c r="H777" s="14"/>
      <x:c r="I777" s="14"/>
      <x:c r="J777" s="14"/>
      <x:c r="K777" s="14"/>
      <x:c r="L777" s="12"/>
      <x:c r="M777" s="12"/>
      <x:c r="N777" s="15" t="n">
        <x:f>IF(OR(L777="Operating",L777="Investing",L777="Financing"),C777,0)</x:f>
        <x:v>0</x:v>
      </x:c>
      <x:c r="O777" s="12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>
      <x:c r="A778" s="1"/>
      <x:c r="B778" s="1"/>
      <x:c r="C778" s="14"/>
      <x:c r="D778" s="14"/>
      <x:c r="E778" s="14"/>
      <x:c r="F778" s="14"/>
      <x:c r="G778" s="14"/>
      <x:c r="H778" s="14"/>
      <x:c r="I778" s="14"/>
      <x:c r="J778" s="14"/>
      <x:c r="K778" s="14"/>
      <x:c r="L778" s="12"/>
      <x:c r="M778" s="12"/>
      <x:c r="N778" s="15" t="n">
        <x:f>IF(OR(L778="Operating",L778="Investing",L778="Financing"),C778,0)</x:f>
        <x:v>0</x:v>
      </x:c>
      <x:c r="O778" s="12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>
      <x:c r="A779" s="1"/>
      <x:c r="B779" s="1"/>
      <x:c r="C779" s="14"/>
      <x:c r="D779" s="14"/>
      <x:c r="E779" s="14"/>
      <x:c r="F779" s="14"/>
      <x:c r="G779" s="14"/>
      <x:c r="H779" s="14"/>
      <x:c r="I779" s="14"/>
      <x:c r="J779" s="14"/>
      <x:c r="K779" s="14"/>
      <x:c r="L779" s="12"/>
      <x:c r="M779" s="12"/>
      <x:c r="N779" s="15" t="n">
        <x:f>IF(OR(L779="Operating",L779="Investing",L779="Financing"),C779,0)</x:f>
        <x:v>0</x:v>
      </x:c>
      <x:c r="O779" s="12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>
      <x:c r="A780" s="1"/>
      <x:c r="B780" s="1"/>
      <x:c r="C780" s="14"/>
      <x:c r="D780" s="14"/>
      <x:c r="E780" s="14"/>
      <x:c r="F780" s="14"/>
      <x:c r="G780" s="14"/>
      <x:c r="H780" s="14"/>
      <x:c r="I780" s="14"/>
      <x:c r="J780" s="14"/>
      <x:c r="K780" s="14"/>
      <x:c r="L780" s="12"/>
      <x:c r="M780" s="12"/>
      <x:c r="N780" s="15" t="n">
        <x:f>IF(OR(L780="Operating",L780="Investing",L780="Financing"),C780,0)</x:f>
        <x:v>0</x:v>
      </x:c>
      <x:c r="O780" s="12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>
      <x:c r="A781" s="1"/>
      <x:c r="B781" s="1"/>
      <x:c r="C781" s="14"/>
      <x:c r="D781" s="14"/>
      <x:c r="E781" s="14"/>
      <x:c r="F781" s="14"/>
      <x:c r="G781" s="14"/>
      <x:c r="H781" s="14"/>
      <x:c r="I781" s="14"/>
      <x:c r="J781" s="14"/>
      <x:c r="K781" s="14"/>
      <x:c r="L781" s="12"/>
      <x:c r="M781" s="12"/>
      <x:c r="N781" s="15" t="n">
        <x:f>IF(OR(L781="Operating",L781="Investing",L781="Financing"),C781,0)</x:f>
        <x:v>0</x:v>
      </x:c>
      <x:c r="O781" s="12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>
      <x:c r="A782" s="1"/>
      <x:c r="B782" s="1"/>
      <x:c r="C782" s="14"/>
      <x:c r="D782" s="14"/>
      <x:c r="E782" s="14"/>
      <x:c r="F782" s="14"/>
      <x:c r="G782" s="14"/>
      <x:c r="H782" s="14"/>
      <x:c r="I782" s="14"/>
      <x:c r="J782" s="14"/>
      <x:c r="K782" s="14"/>
      <x:c r="L782" s="12"/>
      <x:c r="M782" s="12"/>
      <x:c r="N782" s="15" t="n">
        <x:f>IF(OR(L782="Operating",L782="Investing",L782="Financing"),C782,0)</x:f>
        <x:v>0</x:v>
      </x:c>
      <x:c r="O782" s="12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>
      <x:c r="A783" s="1"/>
      <x:c r="B783" s="1"/>
      <x:c r="C783" s="14"/>
      <x:c r="D783" s="14"/>
      <x:c r="E783" s="14"/>
      <x:c r="F783" s="14"/>
      <x:c r="G783" s="14"/>
      <x:c r="H783" s="14"/>
      <x:c r="I783" s="14"/>
      <x:c r="J783" s="14"/>
      <x:c r="K783" s="14"/>
      <x:c r="L783" s="12"/>
      <x:c r="M783" s="12"/>
      <x:c r="N783" s="15" t="n">
        <x:f>IF(OR(L783="Operating",L783="Investing",L783="Financing"),C783,0)</x:f>
        <x:v>0</x:v>
      </x:c>
      <x:c r="O783" s="12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>
      <x:c r="A784" s="1"/>
      <x:c r="B784" s="1"/>
      <x:c r="C784" s="14"/>
      <x:c r="D784" s="14"/>
      <x:c r="E784" s="14"/>
      <x:c r="F784" s="14"/>
      <x:c r="G784" s="14"/>
      <x:c r="H784" s="14"/>
      <x:c r="I784" s="14"/>
      <x:c r="J784" s="14"/>
      <x:c r="K784" s="14"/>
      <x:c r="L784" s="12"/>
      <x:c r="M784" s="12"/>
      <x:c r="N784" s="15" t="n">
        <x:f>IF(OR(L784="Operating",L784="Investing",L784="Financing"),C784,0)</x:f>
        <x:v>0</x:v>
      </x:c>
      <x:c r="O784" s="12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>
      <x:c r="A785" s="1"/>
      <x:c r="B785" s="1"/>
      <x:c r="C785" s="14"/>
      <x:c r="D785" s="14"/>
      <x:c r="E785" s="14"/>
      <x:c r="F785" s="14"/>
      <x:c r="G785" s="14"/>
      <x:c r="H785" s="14"/>
      <x:c r="I785" s="14"/>
      <x:c r="J785" s="14"/>
      <x:c r="K785" s="14"/>
      <x:c r="L785" s="12"/>
      <x:c r="M785" s="12"/>
      <x:c r="N785" s="15" t="n">
        <x:f>IF(OR(L785="Operating",L785="Investing",L785="Financing"),C785,0)</x:f>
        <x:v>0</x:v>
      </x:c>
      <x:c r="O785" s="12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>
      <x:c r="A786" s="1"/>
      <x:c r="B786" s="1"/>
      <x:c r="C786" s="14"/>
      <x:c r="D786" s="14"/>
      <x:c r="E786" s="14"/>
      <x:c r="F786" s="14"/>
      <x:c r="G786" s="14"/>
      <x:c r="H786" s="14"/>
      <x:c r="I786" s="14"/>
      <x:c r="J786" s="14"/>
      <x:c r="K786" s="14"/>
      <x:c r="L786" s="12"/>
      <x:c r="M786" s="12"/>
      <x:c r="N786" s="15" t="n">
        <x:f>IF(OR(L786="Operating",L786="Investing",L786="Financing"),C786,0)</x:f>
        <x:v>0</x:v>
      </x:c>
      <x:c r="O786" s="12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>
      <x:c r="A787" s="1"/>
      <x:c r="B787" s="1"/>
      <x:c r="C787" s="14"/>
      <x:c r="D787" s="14"/>
      <x:c r="E787" s="14"/>
      <x:c r="F787" s="14"/>
      <x:c r="G787" s="14"/>
      <x:c r="H787" s="14"/>
      <x:c r="I787" s="14"/>
      <x:c r="J787" s="14"/>
      <x:c r="K787" s="14"/>
      <x:c r="L787" s="12"/>
      <x:c r="M787" s="12"/>
      <x:c r="N787" s="15" t="n">
        <x:f>IF(OR(L787="Operating",L787="Investing",L787="Financing"),C787,0)</x:f>
        <x:v>0</x:v>
      </x:c>
      <x:c r="O787" s="12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>
      <x:c r="A788" s="1"/>
      <x:c r="B788" s="1"/>
      <x:c r="C788" s="14"/>
      <x:c r="D788" s="14"/>
      <x:c r="E788" s="14"/>
      <x:c r="F788" s="14"/>
      <x:c r="G788" s="14"/>
      <x:c r="H788" s="14"/>
      <x:c r="I788" s="14"/>
      <x:c r="J788" s="14"/>
      <x:c r="K788" s="14"/>
      <x:c r="L788" s="12"/>
      <x:c r="M788" s="12"/>
      <x:c r="N788" s="15" t="n">
        <x:f>IF(OR(L788="Operating",L788="Investing",L788="Financing"),C788,0)</x:f>
        <x:v>0</x:v>
      </x:c>
      <x:c r="O788" s="12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>
      <x:c r="A789" s="1"/>
      <x:c r="B789" s="1"/>
      <x:c r="C789" s="14"/>
      <x:c r="D789" s="14"/>
      <x:c r="E789" s="14"/>
      <x:c r="F789" s="14"/>
      <x:c r="G789" s="14"/>
      <x:c r="H789" s="14"/>
      <x:c r="I789" s="14"/>
      <x:c r="J789" s="14"/>
      <x:c r="K789" s="14"/>
      <x:c r="L789" s="12"/>
      <x:c r="M789" s="12"/>
      <x:c r="N789" s="15" t="n">
        <x:f>IF(OR(L789="Operating",L789="Investing",L789="Financing"),C789,0)</x:f>
        <x:v>0</x:v>
      </x:c>
      <x:c r="O789" s="12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>
      <x:c r="A790" s="1"/>
      <x:c r="B790" s="1"/>
      <x:c r="C790" s="14"/>
      <x:c r="D790" s="14"/>
      <x:c r="E790" s="14"/>
      <x:c r="F790" s="14"/>
      <x:c r="G790" s="14"/>
      <x:c r="H790" s="14"/>
      <x:c r="I790" s="14"/>
      <x:c r="J790" s="14"/>
      <x:c r="K790" s="14"/>
      <x:c r="L790" s="12"/>
      <x:c r="M790" s="12"/>
      <x:c r="N790" s="15" t="n">
        <x:f>IF(OR(L790="Operating",L790="Investing",L790="Financing"),C790,0)</x:f>
        <x:v>0</x:v>
      </x:c>
      <x:c r="O790" s="12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>
      <x:c r="A791" s="1"/>
      <x:c r="B791" s="1"/>
      <x:c r="C791" s="14"/>
      <x:c r="D791" s="14"/>
      <x:c r="E791" s="14"/>
      <x:c r="F791" s="14"/>
      <x:c r="G791" s="14"/>
      <x:c r="H791" s="14"/>
      <x:c r="I791" s="14"/>
      <x:c r="J791" s="14"/>
      <x:c r="K791" s="14"/>
      <x:c r="L791" s="12"/>
      <x:c r="M791" s="12"/>
      <x:c r="N791" s="15" t="n">
        <x:f>IF(OR(L791="Operating",L791="Investing",L791="Financing"),C791,0)</x:f>
        <x:v>0</x:v>
      </x:c>
      <x:c r="O791" s="12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>
      <x:c r="A792" s="1"/>
      <x:c r="B792" s="1"/>
      <x:c r="C792" s="14"/>
      <x:c r="D792" s="14"/>
      <x:c r="E792" s="14"/>
      <x:c r="F792" s="14"/>
      <x:c r="G792" s="14"/>
      <x:c r="H792" s="14"/>
      <x:c r="I792" s="14"/>
      <x:c r="J792" s="14"/>
      <x:c r="K792" s="14"/>
      <x:c r="L792" s="12"/>
      <x:c r="M792" s="12"/>
      <x:c r="N792" s="15" t="n">
        <x:f>IF(OR(L792="Operating",L792="Investing",L792="Financing"),C792,0)</x:f>
        <x:v>0</x:v>
      </x:c>
      <x:c r="O792" s="12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>
      <x:c r="A793" s="1"/>
      <x:c r="B793" s="1"/>
      <x:c r="C793" s="14"/>
      <x:c r="D793" s="14"/>
      <x:c r="E793" s="14"/>
      <x:c r="F793" s="14"/>
      <x:c r="G793" s="14"/>
      <x:c r="H793" s="14"/>
      <x:c r="I793" s="14"/>
      <x:c r="J793" s="14"/>
      <x:c r="K793" s="14"/>
      <x:c r="L793" s="12"/>
      <x:c r="M793" s="12"/>
      <x:c r="N793" s="15" t="n">
        <x:f>IF(OR(L793="Operating",L793="Investing",L793="Financing"),C793,0)</x:f>
        <x:v>0</x:v>
      </x:c>
      <x:c r="O793" s="12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>
      <x:c r="A794" s="1"/>
      <x:c r="B794" s="1"/>
      <x:c r="C794" s="14"/>
      <x:c r="D794" s="14"/>
      <x:c r="E794" s="14"/>
      <x:c r="F794" s="14"/>
      <x:c r="G794" s="14"/>
      <x:c r="H794" s="14"/>
      <x:c r="I794" s="14"/>
      <x:c r="J794" s="14"/>
      <x:c r="K794" s="14"/>
      <x:c r="L794" s="12"/>
      <x:c r="M794" s="12"/>
      <x:c r="N794" s="15" t="n">
        <x:f>IF(OR(L794="Operating",L794="Investing",L794="Financing"),C794,0)</x:f>
        <x:v>0</x:v>
      </x:c>
      <x:c r="O794" s="12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>
      <x:c r="A795" s="1"/>
      <x:c r="B795" s="1"/>
      <x:c r="C795" s="14"/>
      <x:c r="D795" s="14"/>
      <x:c r="E795" s="14"/>
      <x:c r="F795" s="14"/>
      <x:c r="G795" s="14"/>
      <x:c r="H795" s="14"/>
      <x:c r="I795" s="14"/>
      <x:c r="J795" s="14"/>
      <x:c r="K795" s="14"/>
      <x:c r="L795" s="12"/>
      <x:c r="M795" s="12"/>
      <x:c r="N795" s="15" t="n">
        <x:f>IF(OR(L795="Operating",L795="Investing",L795="Financing"),C795,0)</x:f>
        <x:v>0</x:v>
      </x:c>
      <x:c r="O795" s="12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>
      <x:c r="A796" s="1"/>
      <x:c r="B796" s="1"/>
      <x:c r="C796" s="14"/>
      <x:c r="D796" s="14"/>
      <x:c r="E796" s="14"/>
      <x:c r="F796" s="14"/>
      <x:c r="G796" s="14"/>
      <x:c r="H796" s="14"/>
      <x:c r="I796" s="14"/>
      <x:c r="J796" s="14"/>
      <x:c r="K796" s="14"/>
      <x:c r="L796" s="12"/>
      <x:c r="M796" s="12"/>
      <x:c r="N796" s="15" t="n">
        <x:f>IF(OR(L796="Operating",L796="Investing",L796="Financing"),C796,0)</x:f>
        <x:v>0</x:v>
      </x:c>
      <x:c r="O796" s="12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>
      <x:c r="A797" s="1"/>
      <x:c r="B797" s="1"/>
      <x:c r="C797" s="14"/>
      <x:c r="D797" s="14"/>
      <x:c r="E797" s="14"/>
      <x:c r="F797" s="14"/>
      <x:c r="G797" s="14"/>
      <x:c r="H797" s="14"/>
      <x:c r="I797" s="14"/>
      <x:c r="J797" s="14"/>
      <x:c r="K797" s="14"/>
      <x:c r="L797" s="12"/>
      <x:c r="M797" s="12"/>
      <x:c r="N797" s="15" t="n">
        <x:f>IF(OR(L797="Operating",L797="Investing",L797="Financing"),C797,0)</x:f>
        <x:v>0</x:v>
      </x:c>
      <x:c r="O797" s="12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>
      <x:c r="A798" s="1"/>
      <x:c r="B798" s="1"/>
      <x:c r="C798" s="14"/>
      <x:c r="D798" s="14"/>
      <x:c r="E798" s="14"/>
      <x:c r="F798" s="14"/>
      <x:c r="G798" s="14"/>
      <x:c r="H798" s="14"/>
      <x:c r="I798" s="14"/>
      <x:c r="J798" s="14"/>
      <x:c r="K798" s="14"/>
      <x:c r="L798" s="12"/>
      <x:c r="M798" s="12"/>
      <x:c r="N798" s="15" t="n">
        <x:f>IF(OR(L798="Operating",L798="Investing",L798="Financing"),C798,0)</x:f>
        <x:v>0</x:v>
      </x:c>
      <x:c r="O798" s="12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>
      <x:c r="A799" s="1"/>
      <x:c r="B799" s="1"/>
      <x:c r="C799" s="14"/>
      <x:c r="D799" s="14"/>
      <x:c r="E799" s="14"/>
      <x:c r="F799" s="14"/>
      <x:c r="G799" s="14"/>
      <x:c r="H799" s="14"/>
      <x:c r="I799" s="14"/>
      <x:c r="J799" s="14"/>
      <x:c r="K799" s="14"/>
      <x:c r="L799" s="12"/>
      <x:c r="M799" s="12"/>
      <x:c r="N799" s="15" t="n">
        <x:f>IF(OR(L799="Operating",L799="Investing",L799="Financing"),C799,0)</x:f>
        <x:v>0</x:v>
      </x:c>
      <x:c r="O799" s="12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>
      <x:c r="A800" s="1"/>
      <x:c r="B800" s="1"/>
      <x:c r="C800" s="14"/>
      <x:c r="D800" s="14"/>
      <x:c r="E800" s="14"/>
      <x:c r="F800" s="14"/>
      <x:c r="G800" s="14"/>
      <x:c r="H800" s="14"/>
      <x:c r="I800" s="14"/>
      <x:c r="J800" s="14"/>
      <x:c r="K800" s="14"/>
      <x:c r="L800" s="12"/>
      <x:c r="M800" s="12"/>
      <x:c r="N800" s="15" t="n">
        <x:f>IF(OR(L800="Operating",L800="Investing",L800="Financing"),C800,0)</x:f>
        <x:v>0</x:v>
      </x:c>
      <x:c r="O800" s="12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>
      <x:c r="A801" s="1"/>
      <x:c r="B801" s="1"/>
      <x:c r="C801" s="14"/>
      <x:c r="D801" s="14"/>
      <x:c r="E801" s="14"/>
      <x:c r="F801" s="14"/>
      <x:c r="G801" s="14"/>
      <x:c r="H801" s="14"/>
      <x:c r="I801" s="14"/>
      <x:c r="J801" s="14"/>
      <x:c r="K801" s="14"/>
      <x:c r="L801" s="12"/>
      <x:c r="M801" s="12"/>
      <x:c r="N801" s="15" t="n">
        <x:f>IF(OR(L801="Operating",L801="Investing",L801="Financing"),C801,0)</x:f>
        <x:v>0</x:v>
      </x:c>
      <x:c r="O801" s="12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>
      <x:c r="A802" s="1"/>
      <x:c r="B802" s="1"/>
      <x:c r="C802" s="14"/>
      <x:c r="D802" s="14"/>
      <x:c r="E802" s="14"/>
      <x:c r="F802" s="14"/>
      <x:c r="G802" s="14"/>
      <x:c r="H802" s="14"/>
      <x:c r="I802" s="14"/>
      <x:c r="J802" s="14"/>
      <x:c r="K802" s="14"/>
      <x:c r="L802" s="12"/>
      <x:c r="M802" s="12"/>
      <x:c r="N802" s="15" t="n">
        <x:f>IF(OR(L802="Operating",L802="Investing",L802="Financing"),C802,0)</x:f>
        <x:v>0</x:v>
      </x:c>
      <x:c r="O802" s="12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>
      <x:c r="A803" s="1"/>
      <x:c r="B803" s="1"/>
      <x:c r="C803" s="14"/>
      <x:c r="D803" s="14"/>
      <x:c r="E803" s="14"/>
      <x:c r="F803" s="14"/>
      <x:c r="G803" s="14"/>
      <x:c r="H803" s="14"/>
      <x:c r="I803" s="14"/>
      <x:c r="J803" s="14"/>
      <x:c r="K803" s="14"/>
      <x:c r="L803" s="12"/>
      <x:c r="M803" s="12"/>
      <x:c r="N803" s="15" t="n">
        <x:f>IF(OR(L803="Operating",L803="Investing",L803="Financing"),C803,0)</x:f>
        <x:v>0</x:v>
      </x:c>
      <x:c r="O803" s="12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>
      <x:c r="A804" s="1"/>
      <x:c r="B804" s="1"/>
      <x:c r="C804" s="14"/>
      <x:c r="D804" s="14"/>
      <x:c r="E804" s="14"/>
      <x:c r="F804" s="14"/>
      <x:c r="G804" s="14"/>
      <x:c r="H804" s="14"/>
      <x:c r="I804" s="14"/>
      <x:c r="J804" s="14"/>
      <x:c r="K804" s="14"/>
      <x:c r="L804" s="12"/>
      <x:c r="M804" s="12"/>
      <x:c r="N804" s="15" t="n">
        <x:f>IF(OR(L804="Operating",L804="Investing",L804="Financing"),C804,0)</x:f>
        <x:v>0</x:v>
      </x:c>
      <x:c r="O804" s="12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>
      <x:c r="A805" s="1"/>
      <x:c r="B805" s="1"/>
      <x:c r="C805" s="14"/>
      <x:c r="D805" s="14"/>
      <x:c r="E805" s="14"/>
      <x:c r="F805" s="14"/>
      <x:c r="G805" s="14"/>
      <x:c r="H805" s="14"/>
      <x:c r="I805" s="14"/>
      <x:c r="J805" s="14"/>
      <x:c r="K805" s="14"/>
      <x:c r="L805" s="12"/>
      <x:c r="M805" s="12"/>
      <x:c r="N805" s="15" t="n">
        <x:f>IF(OR(L805="Operating",L805="Investing",L805="Financing"),C805,0)</x:f>
        <x:v>0</x:v>
      </x:c>
      <x:c r="O805" s="12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>
      <x:c r="A806" s="1"/>
      <x:c r="B806" s="1"/>
      <x:c r="C806" s="14"/>
      <x:c r="D806" s="14"/>
      <x:c r="E806" s="14"/>
      <x:c r="F806" s="14"/>
      <x:c r="G806" s="14"/>
      <x:c r="H806" s="14"/>
      <x:c r="I806" s="14"/>
      <x:c r="J806" s="14"/>
      <x:c r="K806" s="14"/>
      <x:c r="L806" s="12"/>
      <x:c r="M806" s="12"/>
      <x:c r="N806" s="15" t="n">
        <x:f>IF(OR(L806="Operating",L806="Investing",L806="Financing"),C806,0)</x:f>
        <x:v>0</x:v>
      </x:c>
      <x:c r="O806" s="12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>
      <x:c r="A807" s="1"/>
      <x:c r="B807" s="1"/>
      <x:c r="C807" s="14"/>
      <x:c r="D807" s="14"/>
      <x:c r="E807" s="14"/>
      <x:c r="F807" s="14"/>
      <x:c r="G807" s="14"/>
      <x:c r="H807" s="14"/>
      <x:c r="I807" s="14"/>
      <x:c r="J807" s="14"/>
      <x:c r="K807" s="14"/>
      <x:c r="L807" s="12"/>
      <x:c r="M807" s="12"/>
      <x:c r="N807" s="15" t="n">
        <x:f>IF(OR(L807="Operating",L807="Investing",L807="Financing"),C807,0)</x:f>
        <x:v>0</x:v>
      </x:c>
      <x:c r="O807" s="12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>
      <x:c r="A808" s="1"/>
      <x:c r="B808" s="1"/>
      <x:c r="C808" s="14"/>
      <x:c r="D808" s="14"/>
      <x:c r="E808" s="14"/>
      <x:c r="F808" s="14"/>
      <x:c r="G808" s="14"/>
      <x:c r="H808" s="14"/>
      <x:c r="I808" s="14"/>
      <x:c r="J808" s="14"/>
      <x:c r="K808" s="14"/>
      <x:c r="L808" s="12"/>
      <x:c r="M808" s="12"/>
      <x:c r="N808" s="15" t="n">
        <x:f>IF(OR(L808="Operating",L808="Investing",L808="Financing"),C808,0)</x:f>
        <x:v>0</x:v>
      </x:c>
      <x:c r="O808" s="12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>
      <x:c r="A809" s="1"/>
      <x:c r="B809" s="1"/>
      <x:c r="C809" s="14"/>
      <x:c r="D809" s="14"/>
      <x:c r="E809" s="14"/>
      <x:c r="F809" s="14"/>
      <x:c r="G809" s="14"/>
      <x:c r="H809" s="14"/>
      <x:c r="I809" s="14"/>
      <x:c r="J809" s="14"/>
      <x:c r="K809" s="14"/>
      <x:c r="L809" s="12"/>
      <x:c r="M809" s="12"/>
      <x:c r="N809" s="15" t="n">
        <x:f>IF(OR(L809="Operating",L809="Investing",L809="Financing"),C809,0)</x:f>
        <x:v>0</x:v>
      </x:c>
      <x:c r="O809" s="12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>
      <x:c r="A810" s="1"/>
      <x:c r="B810" s="1"/>
      <x:c r="C810" s="14"/>
      <x:c r="D810" s="14"/>
      <x:c r="E810" s="14"/>
      <x:c r="F810" s="14"/>
      <x:c r="G810" s="14"/>
      <x:c r="H810" s="14"/>
      <x:c r="I810" s="14"/>
      <x:c r="J810" s="14"/>
      <x:c r="K810" s="14"/>
      <x:c r="L810" s="12"/>
      <x:c r="M810" s="12"/>
      <x:c r="N810" s="15" t="n">
        <x:f>IF(OR(L810="Operating",L810="Investing",L810="Financing"),C810,0)</x:f>
        <x:v>0</x:v>
      </x:c>
      <x:c r="O810" s="12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>
      <x:c r="A811" s="1"/>
      <x:c r="B811" s="1"/>
      <x:c r="C811" s="14"/>
      <x:c r="D811" s="14"/>
      <x:c r="E811" s="14"/>
      <x:c r="F811" s="14"/>
      <x:c r="G811" s="14"/>
      <x:c r="H811" s="14"/>
      <x:c r="I811" s="14"/>
      <x:c r="J811" s="14"/>
      <x:c r="K811" s="14"/>
      <x:c r="L811" s="12"/>
      <x:c r="M811" s="12"/>
      <x:c r="N811" s="15" t="n">
        <x:f>IF(OR(L811="Operating",L811="Investing",L811="Financing"),C811,0)</x:f>
        <x:v>0</x:v>
      </x:c>
      <x:c r="O811" s="12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>
      <x:c r="A812" s="1"/>
      <x:c r="B812" s="1"/>
      <x:c r="C812" s="14"/>
      <x:c r="D812" s="14"/>
      <x:c r="E812" s="14"/>
      <x:c r="F812" s="14"/>
      <x:c r="G812" s="14"/>
      <x:c r="H812" s="14"/>
      <x:c r="I812" s="14"/>
      <x:c r="J812" s="14"/>
      <x:c r="K812" s="14"/>
      <x:c r="L812" s="12"/>
      <x:c r="M812" s="12"/>
      <x:c r="N812" s="15" t="n">
        <x:f>IF(OR(L812="Operating",L812="Investing",L812="Financing"),C812,0)</x:f>
        <x:v>0</x:v>
      </x:c>
      <x:c r="O812" s="12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>
      <x:c r="A813" s="1"/>
      <x:c r="B813" s="1"/>
      <x:c r="C813" s="14"/>
      <x:c r="D813" s="14"/>
      <x:c r="E813" s="14"/>
      <x:c r="F813" s="14"/>
      <x:c r="G813" s="14"/>
      <x:c r="H813" s="14"/>
      <x:c r="I813" s="14"/>
      <x:c r="J813" s="14"/>
      <x:c r="K813" s="14"/>
      <x:c r="L813" s="12"/>
      <x:c r="M813" s="12"/>
      <x:c r="N813" s="15" t="n">
        <x:f>IF(OR(L813="Operating",L813="Investing",L813="Financing"),C813,0)</x:f>
        <x:v>0</x:v>
      </x:c>
      <x:c r="O813" s="12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>
      <x:c r="A814" s="1"/>
      <x:c r="B814" s="1"/>
      <x:c r="C814" s="14"/>
      <x:c r="D814" s="14"/>
      <x:c r="E814" s="14"/>
      <x:c r="F814" s="14"/>
      <x:c r="G814" s="14"/>
      <x:c r="H814" s="14"/>
      <x:c r="I814" s="14"/>
      <x:c r="J814" s="14"/>
      <x:c r="K814" s="14"/>
      <x:c r="L814" s="12"/>
      <x:c r="M814" s="12"/>
      <x:c r="N814" s="15" t="n">
        <x:f>IF(OR(L814="Operating",L814="Investing",L814="Financing"),C814,0)</x:f>
        <x:v>0</x:v>
      </x:c>
      <x:c r="O814" s="12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>
      <x:c r="A815" s="1"/>
      <x:c r="B815" s="1"/>
      <x:c r="C815" s="14"/>
      <x:c r="D815" s="14"/>
      <x:c r="E815" s="14"/>
      <x:c r="F815" s="14"/>
      <x:c r="G815" s="14"/>
      <x:c r="H815" s="14"/>
      <x:c r="I815" s="14"/>
      <x:c r="J815" s="14"/>
      <x:c r="K815" s="14"/>
      <x:c r="L815" s="12"/>
      <x:c r="M815" s="12"/>
      <x:c r="N815" s="15" t="n">
        <x:f>IF(OR(L815="Operating",L815="Investing",L815="Financing"),C815,0)</x:f>
        <x:v>0</x:v>
      </x:c>
      <x:c r="O815" s="12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>
      <x:c r="A816" s="1"/>
      <x:c r="B816" s="1"/>
      <x:c r="C816" s="14"/>
      <x:c r="D816" s="14"/>
      <x:c r="E816" s="14"/>
      <x:c r="F816" s="14"/>
      <x:c r="G816" s="14"/>
      <x:c r="H816" s="14"/>
      <x:c r="I816" s="14"/>
      <x:c r="J816" s="14"/>
      <x:c r="K816" s="14"/>
      <x:c r="L816" s="12"/>
      <x:c r="M816" s="12"/>
      <x:c r="N816" s="15" t="n">
        <x:f>IF(OR(L816="Operating",L816="Investing",L816="Financing"),C816,0)</x:f>
        <x:v>0</x:v>
      </x:c>
      <x:c r="O816" s="12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>
      <x:c r="A817" s="1"/>
      <x:c r="B817" s="1"/>
      <x:c r="C817" s="14"/>
      <x:c r="D817" s="14"/>
      <x:c r="E817" s="14"/>
      <x:c r="F817" s="14"/>
      <x:c r="G817" s="14"/>
      <x:c r="H817" s="14"/>
      <x:c r="I817" s="14"/>
      <x:c r="J817" s="14"/>
      <x:c r="K817" s="14"/>
      <x:c r="L817" s="12"/>
      <x:c r="M817" s="12"/>
      <x:c r="N817" s="15" t="n">
        <x:f>IF(OR(L817="Operating",L817="Investing",L817="Financing"),C817,0)</x:f>
        <x:v>0</x:v>
      </x:c>
      <x:c r="O817" s="12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>
      <x:c r="A818" s="1"/>
      <x:c r="B818" s="1"/>
      <x:c r="C818" s="14"/>
      <x:c r="D818" s="14"/>
      <x:c r="E818" s="14"/>
      <x:c r="F818" s="14"/>
      <x:c r="G818" s="14"/>
      <x:c r="H818" s="14"/>
      <x:c r="I818" s="14"/>
      <x:c r="J818" s="14"/>
      <x:c r="K818" s="14"/>
      <x:c r="L818" s="12"/>
      <x:c r="M818" s="12"/>
      <x:c r="N818" s="15" t="n">
        <x:f>IF(OR(L818="Operating",L818="Investing",L818="Financing"),C818,0)</x:f>
        <x:v>0</x:v>
      </x:c>
      <x:c r="O818" s="12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>
      <x:c r="A819" s="1"/>
      <x:c r="B819" s="1"/>
      <x:c r="C819" s="14"/>
      <x:c r="D819" s="14"/>
      <x:c r="E819" s="14"/>
      <x:c r="F819" s="14"/>
      <x:c r="G819" s="14"/>
      <x:c r="H819" s="14"/>
      <x:c r="I819" s="14"/>
      <x:c r="J819" s="14"/>
      <x:c r="K819" s="14"/>
      <x:c r="L819" s="12"/>
      <x:c r="M819" s="12"/>
      <x:c r="N819" s="15" t="n">
        <x:f>IF(OR(L819="Operating",L819="Investing",L819="Financing"),C819,0)</x:f>
        <x:v>0</x:v>
      </x:c>
      <x:c r="O819" s="12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>
      <x:c r="A820" s="1"/>
      <x:c r="B820" s="1"/>
      <x:c r="C820" s="14"/>
      <x:c r="D820" s="14"/>
      <x:c r="E820" s="14"/>
      <x:c r="F820" s="14"/>
      <x:c r="G820" s="14"/>
      <x:c r="H820" s="14"/>
      <x:c r="I820" s="14"/>
      <x:c r="J820" s="14"/>
      <x:c r="K820" s="14"/>
      <x:c r="L820" s="12"/>
      <x:c r="M820" s="12"/>
      <x:c r="N820" s="15" t="n">
        <x:f>IF(OR(L820="Operating",L820="Investing",L820="Financing"),C820,0)</x:f>
        <x:v>0</x:v>
      </x:c>
      <x:c r="O820" s="12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>
      <x:c r="A821" s="1"/>
      <x:c r="B821" s="1"/>
      <x:c r="C821" s="14"/>
      <x:c r="D821" s="14"/>
      <x:c r="E821" s="14"/>
      <x:c r="F821" s="14"/>
      <x:c r="G821" s="14"/>
      <x:c r="H821" s="14"/>
      <x:c r="I821" s="14"/>
      <x:c r="J821" s="14"/>
      <x:c r="K821" s="14"/>
      <x:c r="L821" s="12"/>
      <x:c r="M821" s="12"/>
      <x:c r="N821" s="15" t="n">
        <x:f>IF(OR(L821="Operating",L821="Investing",L821="Financing"),C821,0)</x:f>
        <x:v>0</x:v>
      </x:c>
      <x:c r="O821" s="12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>
      <x:c r="A822" s="1"/>
      <x:c r="B822" s="1"/>
      <x:c r="C822" s="14"/>
      <x:c r="D822" s="14"/>
      <x:c r="E822" s="14"/>
      <x:c r="F822" s="14"/>
      <x:c r="G822" s="14"/>
      <x:c r="H822" s="14"/>
      <x:c r="I822" s="14"/>
      <x:c r="J822" s="14"/>
      <x:c r="K822" s="14"/>
      <x:c r="L822" s="12"/>
      <x:c r="M822" s="12"/>
      <x:c r="N822" s="15" t="n">
        <x:f>IF(OR(L822="Operating",L822="Investing",L822="Financing"),C822,0)</x:f>
        <x:v>0</x:v>
      </x:c>
      <x:c r="O822" s="12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>
      <x:c r="A823" s="1"/>
      <x:c r="B823" s="1"/>
      <x:c r="C823" s="14"/>
      <x:c r="D823" s="14"/>
      <x:c r="E823" s="14"/>
      <x:c r="F823" s="14"/>
      <x:c r="G823" s="14"/>
      <x:c r="H823" s="14"/>
      <x:c r="I823" s="14"/>
      <x:c r="J823" s="14"/>
      <x:c r="K823" s="14"/>
      <x:c r="L823" s="12"/>
      <x:c r="M823" s="12"/>
      <x:c r="N823" s="15" t="n">
        <x:f>IF(OR(L823="Operating",L823="Investing",L823="Financing"),C823,0)</x:f>
        <x:v>0</x:v>
      </x:c>
      <x:c r="O823" s="12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>
      <x:c r="A824" s="1"/>
      <x:c r="B824" s="1"/>
      <x:c r="C824" s="14"/>
      <x:c r="D824" s="14"/>
      <x:c r="E824" s="14"/>
      <x:c r="F824" s="14"/>
      <x:c r="G824" s="14"/>
      <x:c r="H824" s="14"/>
      <x:c r="I824" s="14"/>
      <x:c r="J824" s="14"/>
      <x:c r="K824" s="14"/>
      <x:c r="L824" s="12"/>
      <x:c r="M824" s="12"/>
      <x:c r="N824" s="15" t="n">
        <x:f>IF(OR(L824="Operating",L824="Investing",L824="Financing"),C824,0)</x:f>
        <x:v>0</x:v>
      </x:c>
      <x:c r="O824" s="12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>
      <x:c r="A825" s="1"/>
      <x:c r="B825" s="1"/>
      <x:c r="C825" s="14"/>
      <x:c r="D825" s="14"/>
      <x:c r="E825" s="14"/>
      <x:c r="F825" s="14"/>
      <x:c r="G825" s="14"/>
      <x:c r="H825" s="14"/>
      <x:c r="I825" s="14"/>
      <x:c r="J825" s="14"/>
      <x:c r="K825" s="14"/>
      <x:c r="L825" s="12"/>
      <x:c r="M825" s="12"/>
      <x:c r="N825" s="15" t="n">
        <x:f>IF(OR(L825="Operating",L825="Investing",L825="Financing"),C825,0)</x:f>
        <x:v>0</x:v>
      </x:c>
      <x:c r="O825" s="12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>
      <x:c r="A826" s="1"/>
      <x:c r="B826" s="1"/>
      <x:c r="C826" s="14"/>
      <x:c r="D826" s="14"/>
      <x:c r="E826" s="14"/>
      <x:c r="F826" s="14"/>
      <x:c r="G826" s="14"/>
      <x:c r="H826" s="14"/>
      <x:c r="I826" s="14"/>
      <x:c r="J826" s="14"/>
      <x:c r="K826" s="14"/>
      <x:c r="L826" s="12"/>
      <x:c r="M826" s="12"/>
      <x:c r="N826" s="15" t="n">
        <x:f>IF(OR(L826="Operating",L826="Investing",L826="Financing"),C826,0)</x:f>
        <x:v>0</x:v>
      </x:c>
      <x:c r="O826" s="12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>
      <x:c r="A827" s="1"/>
      <x:c r="B827" s="1"/>
      <x:c r="C827" s="14"/>
      <x:c r="D827" s="14"/>
      <x:c r="E827" s="14"/>
      <x:c r="F827" s="14"/>
      <x:c r="G827" s="14"/>
      <x:c r="H827" s="14"/>
      <x:c r="I827" s="14"/>
      <x:c r="J827" s="14"/>
      <x:c r="K827" s="14"/>
      <x:c r="L827" s="12"/>
      <x:c r="M827" s="12"/>
      <x:c r="N827" s="15" t="n">
        <x:f>IF(OR(L827="Operating",L827="Investing",L827="Financing"),C827,0)</x:f>
        <x:v>0</x:v>
      </x:c>
      <x:c r="O827" s="12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>
      <x:c r="A828" s="1"/>
      <x:c r="B828" s="1"/>
      <x:c r="C828" s="14"/>
      <x:c r="D828" s="14"/>
      <x:c r="E828" s="14"/>
      <x:c r="F828" s="14"/>
      <x:c r="G828" s="14"/>
      <x:c r="H828" s="14"/>
      <x:c r="I828" s="14"/>
      <x:c r="J828" s="14"/>
      <x:c r="K828" s="14"/>
      <x:c r="L828" s="12"/>
      <x:c r="M828" s="12"/>
      <x:c r="N828" s="15" t="n">
        <x:f>IF(OR(L828="Operating",L828="Investing",L828="Financing"),C828,0)</x:f>
        <x:v>0</x:v>
      </x:c>
      <x:c r="O828" s="12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>
      <x:c r="A829" s="1"/>
      <x:c r="B829" s="1"/>
      <x:c r="C829" s="14"/>
      <x:c r="D829" s="14"/>
      <x:c r="E829" s="14"/>
      <x:c r="F829" s="14"/>
      <x:c r="G829" s="14"/>
      <x:c r="H829" s="14"/>
      <x:c r="I829" s="14"/>
      <x:c r="J829" s="14"/>
      <x:c r="K829" s="14"/>
      <x:c r="L829" s="12"/>
      <x:c r="M829" s="12"/>
      <x:c r="N829" s="15" t="n">
        <x:f>IF(OR(L829="Operating",L829="Investing",L829="Financing"),C829,0)</x:f>
        <x:v>0</x:v>
      </x:c>
      <x:c r="O829" s="12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>
      <x:c r="A830" s="1"/>
      <x:c r="B830" s="1"/>
      <x:c r="C830" s="14"/>
      <x:c r="D830" s="14"/>
      <x:c r="E830" s="14"/>
      <x:c r="F830" s="14"/>
      <x:c r="G830" s="14"/>
      <x:c r="H830" s="14"/>
      <x:c r="I830" s="14"/>
      <x:c r="J830" s="14"/>
      <x:c r="K830" s="14"/>
      <x:c r="L830" s="12"/>
      <x:c r="M830" s="12"/>
      <x:c r="N830" s="15" t="n">
        <x:f>IF(OR(L830="Operating",L830="Investing",L830="Financing"),C830,0)</x:f>
        <x:v>0</x:v>
      </x:c>
      <x:c r="O830" s="12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>
      <x:c r="A831" s="1"/>
      <x:c r="B831" s="1"/>
      <x:c r="C831" s="14"/>
      <x:c r="D831" s="14"/>
      <x:c r="E831" s="14"/>
      <x:c r="F831" s="14"/>
      <x:c r="G831" s="14"/>
      <x:c r="H831" s="14"/>
      <x:c r="I831" s="14"/>
      <x:c r="J831" s="14"/>
      <x:c r="K831" s="14"/>
      <x:c r="L831" s="12"/>
      <x:c r="M831" s="12"/>
      <x:c r="N831" s="15" t="n">
        <x:f>IF(OR(L831="Operating",L831="Investing",L831="Financing"),C831,0)</x:f>
        <x:v>0</x:v>
      </x:c>
      <x:c r="O831" s="12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>
      <x:c r="A832" s="1"/>
      <x:c r="B832" s="1"/>
      <x:c r="C832" s="14"/>
      <x:c r="D832" s="14"/>
      <x:c r="E832" s="14"/>
      <x:c r="F832" s="14"/>
      <x:c r="G832" s="14"/>
      <x:c r="H832" s="14"/>
      <x:c r="I832" s="14"/>
      <x:c r="J832" s="14"/>
      <x:c r="K832" s="14"/>
      <x:c r="L832" s="12"/>
      <x:c r="M832" s="12"/>
      <x:c r="N832" s="15" t="n">
        <x:f>IF(OR(L832="Operating",L832="Investing",L832="Financing"),C832,0)</x:f>
        <x:v>0</x:v>
      </x:c>
      <x:c r="O832" s="12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>
      <x:c r="A833" s="1"/>
      <x:c r="B833" s="1"/>
      <x:c r="C833" s="14"/>
      <x:c r="D833" s="14"/>
      <x:c r="E833" s="14"/>
      <x:c r="F833" s="14"/>
      <x:c r="G833" s="14"/>
      <x:c r="H833" s="14"/>
      <x:c r="I833" s="14"/>
      <x:c r="J833" s="14"/>
      <x:c r="K833" s="14"/>
      <x:c r="L833" s="12"/>
      <x:c r="M833" s="12"/>
      <x:c r="N833" s="15" t="n">
        <x:f>IF(OR(L833="Operating",L833="Investing",L833="Financing"),C833,0)</x:f>
        <x:v>0</x:v>
      </x:c>
      <x:c r="O833" s="12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>
      <x:c r="A834" s="1"/>
      <x:c r="B834" s="1"/>
      <x:c r="C834" s="14"/>
      <x:c r="D834" s="14"/>
      <x:c r="E834" s="14"/>
      <x:c r="F834" s="14"/>
      <x:c r="G834" s="14"/>
      <x:c r="H834" s="14"/>
      <x:c r="I834" s="14"/>
      <x:c r="J834" s="14"/>
      <x:c r="K834" s="14"/>
      <x:c r="L834" s="12"/>
      <x:c r="M834" s="12"/>
      <x:c r="N834" s="15" t="n">
        <x:f>IF(OR(L834="Operating",L834="Investing",L834="Financing"),C834,0)</x:f>
        <x:v>0</x:v>
      </x:c>
      <x:c r="O834" s="12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>
      <x:c r="A835" s="1"/>
      <x:c r="B835" s="1"/>
      <x:c r="C835" s="14"/>
      <x:c r="D835" s="14"/>
      <x:c r="E835" s="14"/>
      <x:c r="F835" s="14"/>
      <x:c r="G835" s="14"/>
      <x:c r="H835" s="14"/>
      <x:c r="I835" s="14"/>
      <x:c r="J835" s="14"/>
      <x:c r="K835" s="14"/>
      <x:c r="L835" s="12"/>
      <x:c r="M835" s="12"/>
      <x:c r="N835" s="15" t="n">
        <x:f>IF(OR(L835="Operating",L835="Investing",L835="Financing"),C835,0)</x:f>
        <x:v>0</x:v>
      </x:c>
      <x:c r="O835" s="12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>
      <x:c r="A836" s="1"/>
      <x:c r="B836" s="1"/>
      <x:c r="C836" s="14"/>
      <x:c r="D836" s="14"/>
      <x:c r="E836" s="14"/>
      <x:c r="F836" s="14"/>
      <x:c r="G836" s="14"/>
      <x:c r="H836" s="14"/>
      <x:c r="I836" s="14"/>
      <x:c r="J836" s="14"/>
      <x:c r="K836" s="14"/>
      <x:c r="L836" s="12"/>
      <x:c r="M836" s="12"/>
      <x:c r="N836" s="15" t="n">
        <x:f>IF(OR(L836="Operating",L836="Investing",L836="Financing"),C836,0)</x:f>
        <x:v>0</x:v>
      </x:c>
      <x:c r="O836" s="12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>
      <x:c r="A837" s="1"/>
      <x:c r="B837" s="1"/>
      <x:c r="C837" s="14"/>
      <x:c r="D837" s="14"/>
      <x:c r="E837" s="14"/>
      <x:c r="F837" s="14"/>
      <x:c r="G837" s="14"/>
      <x:c r="H837" s="14"/>
      <x:c r="I837" s="14"/>
      <x:c r="J837" s="14"/>
      <x:c r="K837" s="14"/>
      <x:c r="L837" s="12"/>
      <x:c r="M837" s="12"/>
      <x:c r="N837" s="15" t="n">
        <x:f>IF(OR(L837="Operating",L837="Investing",L837="Financing"),C837,0)</x:f>
        <x:v>0</x:v>
      </x:c>
      <x:c r="O837" s="12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>
      <x:c r="A838" s="1"/>
      <x:c r="B838" s="1"/>
      <x:c r="C838" s="14"/>
      <x:c r="D838" s="14"/>
      <x:c r="E838" s="14"/>
      <x:c r="F838" s="14"/>
      <x:c r="G838" s="14"/>
      <x:c r="H838" s="14"/>
      <x:c r="I838" s="14"/>
      <x:c r="J838" s="14"/>
      <x:c r="K838" s="14"/>
      <x:c r="L838" s="12"/>
      <x:c r="M838" s="12"/>
      <x:c r="N838" s="15" t="n">
        <x:f>IF(OR(L838="Operating",L838="Investing",L838="Financing"),C838,0)</x:f>
        <x:v>0</x:v>
      </x:c>
      <x:c r="O838" s="12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>
      <x:c r="A839" s="1"/>
      <x:c r="B839" s="1"/>
      <x:c r="C839" s="14"/>
      <x:c r="D839" s="14"/>
      <x:c r="E839" s="14"/>
      <x:c r="F839" s="14"/>
      <x:c r="G839" s="14"/>
      <x:c r="H839" s="14"/>
      <x:c r="I839" s="14"/>
      <x:c r="J839" s="14"/>
      <x:c r="K839" s="14"/>
      <x:c r="L839" s="12"/>
      <x:c r="M839" s="12"/>
      <x:c r="N839" s="15" t="n">
        <x:f>IF(OR(L839="Operating",L839="Investing",L839="Financing"),C839,0)</x:f>
        <x:v>0</x:v>
      </x:c>
      <x:c r="O839" s="12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>
      <x:c r="A840" s="1"/>
      <x:c r="B840" s="1"/>
      <x:c r="C840" s="14"/>
      <x:c r="D840" s="14"/>
      <x:c r="E840" s="14"/>
      <x:c r="F840" s="14"/>
      <x:c r="G840" s="14"/>
      <x:c r="H840" s="14"/>
      <x:c r="I840" s="14"/>
      <x:c r="J840" s="14"/>
      <x:c r="K840" s="14"/>
      <x:c r="L840" s="12"/>
      <x:c r="M840" s="12"/>
      <x:c r="N840" s="15" t="n">
        <x:f>IF(OR(L840="Operating",L840="Investing",L840="Financing"),C840,0)</x:f>
        <x:v>0</x:v>
      </x:c>
      <x:c r="O840" s="12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>
      <x:c r="A841" s="1"/>
      <x:c r="B841" s="1"/>
      <x:c r="C841" s="14"/>
      <x:c r="D841" s="14"/>
      <x:c r="E841" s="14"/>
      <x:c r="F841" s="14"/>
      <x:c r="G841" s="14"/>
      <x:c r="H841" s="14"/>
      <x:c r="I841" s="14"/>
      <x:c r="J841" s="14"/>
      <x:c r="K841" s="14"/>
      <x:c r="L841" s="12"/>
      <x:c r="M841" s="12"/>
      <x:c r="N841" s="15" t="n">
        <x:f>IF(OR(L841="Operating",L841="Investing",L841="Financing"),C841,0)</x:f>
        <x:v>0</x:v>
      </x:c>
      <x:c r="O841" s="12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>
      <x:c r="A842" s="1"/>
      <x:c r="B842" s="1"/>
      <x:c r="C842" s="14"/>
      <x:c r="D842" s="14"/>
      <x:c r="E842" s="14"/>
      <x:c r="F842" s="14"/>
      <x:c r="G842" s="14"/>
      <x:c r="H842" s="14"/>
      <x:c r="I842" s="14"/>
      <x:c r="J842" s="14"/>
      <x:c r="K842" s="14"/>
      <x:c r="L842" s="12"/>
      <x:c r="M842" s="12"/>
      <x:c r="N842" s="15" t="n">
        <x:f>IF(OR(L842="Operating",L842="Investing",L842="Financing"),C842,0)</x:f>
        <x:v>0</x:v>
      </x:c>
      <x:c r="O842" s="12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>
      <x:c r="A843" s="1"/>
      <x:c r="B843" s="1"/>
      <x:c r="C843" s="14"/>
      <x:c r="D843" s="14"/>
      <x:c r="E843" s="14"/>
      <x:c r="F843" s="14"/>
      <x:c r="G843" s="14"/>
      <x:c r="H843" s="14"/>
      <x:c r="I843" s="14"/>
      <x:c r="J843" s="14"/>
      <x:c r="K843" s="14"/>
      <x:c r="L843" s="12"/>
      <x:c r="M843" s="12"/>
      <x:c r="N843" s="15" t="n">
        <x:f>IF(OR(L843="Operating",L843="Investing",L843="Financing"),C843,0)</x:f>
        <x:v>0</x:v>
      </x:c>
      <x:c r="O843" s="12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>
      <x:c r="A844" s="1"/>
      <x:c r="B844" s="1"/>
      <x:c r="C844" s="14"/>
      <x:c r="D844" s="14"/>
      <x:c r="E844" s="14"/>
      <x:c r="F844" s="14"/>
      <x:c r="G844" s="14"/>
      <x:c r="H844" s="14"/>
      <x:c r="I844" s="14"/>
      <x:c r="J844" s="14"/>
      <x:c r="K844" s="14"/>
      <x:c r="L844" s="12"/>
      <x:c r="M844" s="12"/>
      <x:c r="N844" s="15" t="n">
        <x:f>IF(OR(L844="Operating",L844="Investing",L844="Financing"),C844,0)</x:f>
        <x:v>0</x:v>
      </x:c>
      <x:c r="O844" s="12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>
      <x:c r="A845" s="1"/>
      <x:c r="B845" s="1"/>
      <x:c r="C845" s="14"/>
      <x:c r="D845" s="14"/>
      <x:c r="E845" s="14"/>
      <x:c r="F845" s="14"/>
      <x:c r="G845" s="14"/>
      <x:c r="H845" s="14"/>
      <x:c r="I845" s="14"/>
      <x:c r="J845" s="14"/>
      <x:c r="K845" s="14"/>
      <x:c r="L845" s="12"/>
      <x:c r="M845" s="12"/>
      <x:c r="N845" s="15" t="n">
        <x:f>IF(OR(L845="Operating",L845="Investing",L845="Financing"),C845,0)</x:f>
        <x:v>0</x:v>
      </x:c>
      <x:c r="O845" s="12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>
      <x:c r="A846" s="1"/>
      <x:c r="B846" s="1"/>
      <x:c r="C846" s="14"/>
      <x:c r="D846" s="14"/>
      <x:c r="E846" s="14"/>
      <x:c r="F846" s="14"/>
      <x:c r="G846" s="14"/>
      <x:c r="H846" s="14"/>
      <x:c r="I846" s="14"/>
      <x:c r="J846" s="14"/>
      <x:c r="K846" s="14"/>
      <x:c r="L846" s="12"/>
      <x:c r="M846" s="12"/>
      <x:c r="N846" s="15" t="n">
        <x:f>IF(OR(L846="Operating",L846="Investing",L846="Financing"),C846,0)</x:f>
        <x:v>0</x:v>
      </x:c>
      <x:c r="O846" s="12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>
      <x:c r="A847" s="1"/>
      <x:c r="B847" s="1"/>
      <x:c r="C847" s="14"/>
      <x:c r="D847" s="14"/>
      <x:c r="E847" s="14"/>
      <x:c r="F847" s="14"/>
      <x:c r="G847" s="14"/>
      <x:c r="H847" s="14"/>
      <x:c r="I847" s="14"/>
      <x:c r="J847" s="14"/>
      <x:c r="K847" s="14"/>
      <x:c r="L847" s="12"/>
      <x:c r="M847" s="12"/>
      <x:c r="N847" s="15" t="n">
        <x:f>IF(OR(L847="Operating",L847="Investing",L847="Financing"),C847,0)</x:f>
        <x:v>0</x:v>
      </x:c>
      <x:c r="O847" s="12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>
      <x:c r="A848" s="1"/>
      <x:c r="B848" s="1"/>
      <x:c r="C848" s="14"/>
      <x:c r="D848" s="14"/>
      <x:c r="E848" s="14"/>
      <x:c r="F848" s="14"/>
      <x:c r="G848" s="14"/>
      <x:c r="H848" s="14"/>
      <x:c r="I848" s="14"/>
      <x:c r="J848" s="14"/>
      <x:c r="K848" s="14"/>
      <x:c r="L848" s="12"/>
      <x:c r="M848" s="12"/>
      <x:c r="N848" s="15" t="n">
        <x:f>IF(OR(L848="Operating",L848="Investing",L848="Financing"),C848,0)</x:f>
        <x:v>0</x:v>
      </x:c>
      <x:c r="O848" s="12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>
      <x:c r="A849" s="1"/>
      <x:c r="B849" s="1"/>
      <x:c r="C849" s="14"/>
      <x:c r="D849" s="14"/>
      <x:c r="E849" s="14"/>
      <x:c r="F849" s="14"/>
      <x:c r="G849" s="14"/>
      <x:c r="H849" s="14"/>
      <x:c r="I849" s="14"/>
      <x:c r="J849" s="14"/>
      <x:c r="K849" s="14"/>
      <x:c r="L849" s="12"/>
      <x:c r="M849" s="12"/>
      <x:c r="N849" s="15" t="n">
        <x:f>IF(OR(L849="Operating",L849="Investing",L849="Financing"),C849,0)</x:f>
        <x:v>0</x:v>
      </x:c>
      <x:c r="O849" s="12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>
      <x:c r="A850" s="1"/>
      <x:c r="B850" s="1"/>
      <x:c r="C850" s="14"/>
      <x:c r="D850" s="14"/>
      <x:c r="E850" s="14"/>
      <x:c r="F850" s="14"/>
      <x:c r="G850" s="14"/>
      <x:c r="H850" s="14"/>
      <x:c r="I850" s="14"/>
      <x:c r="J850" s="14"/>
      <x:c r="K850" s="14"/>
      <x:c r="L850" s="12"/>
      <x:c r="M850" s="12"/>
      <x:c r="N850" s="15" t="n">
        <x:f>IF(OR(L850="Operating",L850="Investing",L850="Financing"),C850,0)</x:f>
        <x:v>0</x:v>
      </x:c>
      <x:c r="O850" s="12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>
      <x:c r="A851" s="1"/>
      <x:c r="B851" s="1"/>
      <x:c r="C851" s="14"/>
      <x:c r="D851" s="14"/>
      <x:c r="E851" s="14"/>
      <x:c r="F851" s="14"/>
      <x:c r="G851" s="14"/>
      <x:c r="H851" s="14"/>
      <x:c r="I851" s="14"/>
      <x:c r="J851" s="14"/>
      <x:c r="K851" s="14"/>
      <x:c r="L851" s="12"/>
      <x:c r="M851" s="12"/>
      <x:c r="N851" s="15" t="n">
        <x:f>IF(OR(L851="Operating",L851="Investing",L851="Financing"),C851,0)</x:f>
        <x:v>0</x:v>
      </x:c>
      <x:c r="O851" s="12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>
      <x:c r="A852" s="1"/>
      <x:c r="B852" s="1"/>
      <x:c r="C852" s="14"/>
      <x:c r="D852" s="14"/>
      <x:c r="E852" s="14"/>
      <x:c r="F852" s="14"/>
      <x:c r="G852" s="14"/>
      <x:c r="H852" s="14"/>
      <x:c r="I852" s="14"/>
      <x:c r="J852" s="14"/>
      <x:c r="K852" s="14"/>
      <x:c r="L852" s="12"/>
      <x:c r="M852" s="12"/>
      <x:c r="N852" s="15" t="n">
        <x:f>IF(OR(L852="Operating",L852="Investing",L852="Financing"),C852,0)</x:f>
        <x:v>0</x:v>
      </x:c>
      <x:c r="O852" s="12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>
      <x:c r="A853" s="1"/>
      <x:c r="B853" s="1"/>
      <x:c r="C853" s="14"/>
      <x:c r="D853" s="14"/>
      <x:c r="E853" s="14"/>
      <x:c r="F853" s="14"/>
      <x:c r="G853" s="14"/>
      <x:c r="H853" s="14"/>
      <x:c r="I853" s="14"/>
      <x:c r="J853" s="14"/>
      <x:c r="K853" s="14"/>
      <x:c r="L853" s="12"/>
      <x:c r="M853" s="12"/>
      <x:c r="N853" s="15" t="n">
        <x:f>IF(OR(L853="Operating",L853="Investing",L853="Financing"),C853,0)</x:f>
        <x:v>0</x:v>
      </x:c>
      <x:c r="O853" s="12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>
      <x:c r="A854" s="1"/>
      <x:c r="B854" s="1"/>
      <x:c r="C854" s="14"/>
      <x:c r="D854" s="14"/>
      <x:c r="E854" s="14"/>
      <x:c r="F854" s="14"/>
      <x:c r="G854" s="14"/>
      <x:c r="H854" s="14"/>
      <x:c r="I854" s="14"/>
      <x:c r="J854" s="14"/>
      <x:c r="K854" s="14"/>
      <x:c r="L854" s="12"/>
      <x:c r="M854" s="12"/>
      <x:c r="N854" s="15" t="n">
        <x:f>IF(OR(L854="Operating",L854="Investing",L854="Financing"),C854,0)</x:f>
        <x:v>0</x:v>
      </x:c>
      <x:c r="O854" s="12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>
      <x:c r="A855" s="1"/>
      <x:c r="B855" s="1"/>
      <x:c r="C855" s="14"/>
      <x:c r="D855" s="14"/>
      <x:c r="E855" s="14"/>
      <x:c r="F855" s="14"/>
      <x:c r="G855" s="14"/>
      <x:c r="H855" s="14"/>
      <x:c r="I855" s="14"/>
      <x:c r="J855" s="14"/>
      <x:c r="K855" s="14"/>
      <x:c r="L855" s="12"/>
      <x:c r="M855" s="12"/>
      <x:c r="N855" s="15" t="n">
        <x:f>IF(OR(L855="Operating",L855="Investing",L855="Financing"),C855,0)</x:f>
        <x:v>0</x:v>
      </x:c>
      <x:c r="O855" s="12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>
      <x:c r="A856" s="1"/>
      <x:c r="B856" s="1"/>
      <x:c r="C856" s="14"/>
      <x:c r="D856" s="14"/>
      <x:c r="E856" s="14"/>
      <x:c r="F856" s="14"/>
      <x:c r="G856" s="14"/>
      <x:c r="H856" s="14"/>
      <x:c r="I856" s="14"/>
      <x:c r="J856" s="14"/>
      <x:c r="K856" s="14"/>
      <x:c r="L856" s="12"/>
      <x:c r="M856" s="12"/>
      <x:c r="N856" s="15" t="n">
        <x:f>IF(OR(L856="Operating",L856="Investing",L856="Financing"),C856,0)</x:f>
        <x:v>0</x:v>
      </x:c>
      <x:c r="O856" s="12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>
      <x:c r="A857" s="1"/>
      <x:c r="B857" s="1"/>
      <x:c r="C857" s="14"/>
      <x:c r="D857" s="14"/>
      <x:c r="E857" s="14"/>
      <x:c r="F857" s="14"/>
      <x:c r="G857" s="14"/>
      <x:c r="H857" s="14"/>
      <x:c r="I857" s="14"/>
      <x:c r="J857" s="14"/>
      <x:c r="K857" s="14"/>
      <x:c r="L857" s="12"/>
      <x:c r="M857" s="12"/>
      <x:c r="N857" s="15" t="n">
        <x:f>IF(OR(L857="Operating",L857="Investing",L857="Financing"),C857,0)</x:f>
        <x:v>0</x:v>
      </x:c>
      <x:c r="O857" s="12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>
      <x:c r="A858" s="1"/>
      <x:c r="B858" s="1"/>
      <x:c r="C858" s="14"/>
      <x:c r="D858" s="14"/>
      <x:c r="E858" s="14"/>
      <x:c r="F858" s="14"/>
      <x:c r="G858" s="14"/>
      <x:c r="H858" s="14"/>
      <x:c r="I858" s="14"/>
      <x:c r="J858" s="14"/>
      <x:c r="K858" s="14"/>
      <x:c r="L858" s="12"/>
      <x:c r="M858" s="12"/>
      <x:c r="N858" s="15" t="n">
        <x:f>IF(OR(L858="Operating",L858="Investing",L858="Financing"),C858,0)</x:f>
        <x:v>0</x:v>
      </x:c>
      <x:c r="O858" s="12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>
      <x:c r="A859" s="1"/>
      <x:c r="B859" s="1"/>
      <x:c r="C859" s="14"/>
      <x:c r="D859" s="14"/>
      <x:c r="E859" s="14"/>
      <x:c r="F859" s="14"/>
      <x:c r="G859" s="14"/>
      <x:c r="H859" s="14"/>
      <x:c r="I859" s="14"/>
      <x:c r="J859" s="14"/>
      <x:c r="K859" s="14"/>
      <x:c r="L859" s="12"/>
      <x:c r="M859" s="12"/>
      <x:c r="N859" s="15" t="n">
        <x:f>IF(OR(L859="Operating",L859="Investing",L859="Financing"),C859,0)</x:f>
        <x:v>0</x:v>
      </x:c>
      <x:c r="O859" s="12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>
      <x:c r="A860" s="1"/>
      <x:c r="B860" s="1"/>
      <x:c r="C860" s="14"/>
      <x:c r="D860" s="14"/>
      <x:c r="E860" s="14"/>
      <x:c r="F860" s="14"/>
      <x:c r="G860" s="14"/>
      <x:c r="H860" s="14"/>
      <x:c r="I860" s="14"/>
      <x:c r="J860" s="14"/>
      <x:c r="K860" s="14"/>
      <x:c r="L860" s="12"/>
      <x:c r="M860" s="12"/>
      <x:c r="N860" s="15" t="n">
        <x:f>IF(OR(L860="Operating",L860="Investing",L860="Financing"),C860,0)</x:f>
        <x:v>0</x:v>
      </x:c>
      <x:c r="O860" s="12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>
      <x:c r="A861" s="1"/>
      <x:c r="B861" s="1"/>
      <x:c r="C861" s="14"/>
      <x:c r="D861" s="14"/>
      <x:c r="E861" s="14"/>
      <x:c r="F861" s="14"/>
      <x:c r="G861" s="14"/>
      <x:c r="H861" s="14"/>
      <x:c r="I861" s="14"/>
      <x:c r="J861" s="14"/>
      <x:c r="K861" s="14"/>
      <x:c r="L861" s="12"/>
      <x:c r="M861" s="12"/>
      <x:c r="N861" s="15" t="n">
        <x:f>IF(OR(L861="Operating",L861="Investing",L861="Financing"),C861,0)</x:f>
        <x:v>0</x:v>
      </x:c>
      <x:c r="O861" s="12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>
      <x:c r="A862" s="1"/>
      <x:c r="B862" s="1"/>
      <x:c r="C862" s="14"/>
      <x:c r="D862" s="14"/>
      <x:c r="E862" s="14"/>
      <x:c r="F862" s="14"/>
      <x:c r="G862" s="14"/>
      <x:c r="H862" s="14"/>
      <x:c r="I862" s="14"/>
      <x:c r="J862" s="14"/>
      <x:c r="K862" s="14"/>
      <x:c r="L862" s="12"/>
      <x:c r="M862" s="12"/>
      <x:c r="N862" s="15" t="n">
        <x:f>IF(OR(L862="Operating",L862="Investing",L862="Financing"),C862,0)</x:f>
        <x:v>0</x:v>
      </x:c>
      <x:c r="O862" s="12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>
      <x:c r="A863" s="1"/>
      <x:c r="B863" s="1"/>
      <x:c r="C863" s="14"/>
      <x:c r="D863" s="14"/>
      <x:c r="E863" s="14"/>
      <x:c r="F863" s="14"/>
      <x:c r="G863" s="14"/>
      <x:c r="H863" s="14"/>
      <x:c r="I863" s="14"/>
      <x:c r="J863" s="14"/>
      <x:c r="K863" s="14"/>
      <x:c r="L863" s="12"/>
      <x:c r="M863" s="12"/>
      <x:c r="N863" s="15" t="n">
        <x:f>IF(OR(L863="Operating",L863="Investing",L863="Financing"),C863,0)</x:f>
        <x:v>0</x:v>
      </x:c>
      <x:c r="O863" s="12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>
      <x:c r="A864" s="1"/>
      <x:c r="B864" s="1"/>
      <x:c r="C864" s="14"/>
      <x:c r="D864" s="14"/>
      <x:c r="E864" s="14"/>
      <x:c r="F864" s="14"/>
      <x:c r="G864" s="14"/>
      <x:c r="H864" s="14"/>
      <x:c r="I864" s="14"/>
      <x:c r="J864" s="14"/>
      <x:c r="K864" s="14"/>
      <x:c r="L864" s="12"/>
      <x:c r="M864" s="12"/>
      <x:c r="N864" s="15" t="n">
        <x:f>IF(OR(L864="Operating",L864="Investing",L864="Financing"),C864,0)</x:f>
        <x:v>0</x:v>
      </x:c>
      <x:c r="O864" s="12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>
      <x:c r="A865" s="1"/>
      <x:c r="B865" s="1"/>
      <x:c r="C865" s="14"/>
      <x:c r="D865" s="14"/>
      <x:c r="E865" s="14"/>
      <x:c r="F865" s="14"/>
      <x:c r="G865" s="14"/>
      <x:c r="H865" s="14"/>
      <x:c r="I865" s="14"/>
      <x:c r="J865" s="14"/>
      <x:c r="K865" s="14"/>
      <x:c r="L865" s="12"/>
      <x:c r="M865" s="12"/>
      <x:c r="N865" s="15" t="n">
        <x:f>IF(OR(L865="Operating",L865="Investing",L865="Financing"),C865,0)</x:f>
        <x:v>0</x:v>
      </x:c>
      <x:c r="O865" s="12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>
      <x:c r="A866" s="1"/>
      <x:c r="B866" s="1"/>
      <x:c r="C866" s="14"/>
      <x:c r="D866" s="14"/>
      <x:c r="E866" s="14"/>
      <x:c r="F866" s="14"/>
      <x:c r="G866" s="14"/>
      <x:c r="H866" s="14"/>
      <x:c r="I866" s="14"/>
      <x:c r="J866" s="14"/>
      <x:c r="K866" s="14"/>
      <x:c r="L866" s="12"/>
      <x:c r="M866" s="12"/>
      <x:c r="N866" s="15" t="n">
        <x:f>IF(OR(L866="Operating",L866="Investing",L866="Financing"),C866,0)</x:f>
        <x:v>0</x:v>
      </x:c>
      <x:c r="O866" s="12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>
      <x:c r="A867" s="1"/>
      <x:c r="B867" s="1"/>
      <x:c r="C867" s="14"/>
      <x:c r="D867" s="14"/>
      <x:c r="E867" s="14"/>
      <x:c r="F867" s="14"/>
      <x:c r="G867" s="14"/>
      <x:c r="H867" s="14"/>
      <x:c r="I867" s="14"/>
      <x:c r="J867" s="14"/>
      <x:c r="K867" s="14"/>
      <x:c r="L867" s="12"/>
      <x:c r="M867" s="12"/>
      <x:c r="N867" s="15" t="n">
        <x:f>IF(OR(L867="Operating",L867="Investing",L867="Financing"),C867,0)</x:f>
        <x:v>0</x:v>
      </x:c>
      <x:c r="O867" s="12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>
      <x:c r="A868" s="1"/>
      <x:c r="B868" s="1"/>
      <x:c r="C868" s="14"/>
      <x:c r="D868" s="14"/>
      <x:c r="E868" s="14"/>
      <x:c r="F868" s="14"/>
      <x:c r="G868" s="14"/>
      <x:c r="H868" s="14"/>
      <x:c r="I868" s="14"/>
      <x:c r="J868" s="14"/>
      <x:c r="K868" s="14"/>
      <x:c r="L868" s="12"/>
      <x:c r="M868" s="12"/>
      <x:c r="N868" s="15" t="n">
        <x:f>IF(OR(L868="Operating",L868="Investing",L868="Financing"),C868,0)</x:f>
        <x:v>0</x:v>
      </x:c>
      <x:c r="O868" s="12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>
      <x:c r="A869" s="1"/>
      <x:c r="B869" s="1"/>
      <x:c r="C869" s="14"/>
      <x:c r="D869" s="14"/>
      <x:c r="E869" s="14"/>
      <x:c r="F869" s="14"/>
      <x:c r="G869" s="14"/>
      <x:c r="H869" s="14"/>
      <x:c r="I869" s="14"/>
      <x:c r="J869" s="14"/>
      <x:c r="K869" s="14"/>
      <x:c r="L869" s="12"/>
      <x:c r="M869" s="12"/>
      <x:c r="N869" s="15" t="n">
        <x:f>IF(OR(L869="Operating",L869="Investing",L869="Financing"),C869,0)</x:f>
        <x:v>0</x:v>
      </x:c>
      <x:c r="O869" s="12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>
      <x:c r="A870" s="1"/>
      <x:c r="B870" s="1"/>
      <x:c r="C870" s="14"/>
      <x:c r="D870" s="14"/>
      <x:c r="E870" s="14"/>
      <x:c r="F870" s="14"/>
      <x:c r="G870" s="14"/>
      <x:c r="H870" s="14"/>
      <x:c r="I870" s="14"/>
      <x:c r="J870" s="14"/>
      <x:c r="K870" s="14"/>
      <x:c r="L870" s="12"/>
      <x:c r="M870" s="12"/>
      <x:c r="N870" s="15" t="n">
        <x:f>IF(OR(L870="Operating",L870="Investing",L870="Financing"),C870,0)</x:f>
        <x:v>0</x:v>
      </x:c>
      <x:c r="O870" s="12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>
      <x:c r="A871" s="1"/>
      <x:c r="B871" s="1"/>
      <x:c r="C871" s="14"/>
      <x:c r="D871" s="14"/>
      <x:c r="E871" s="14"/>
      <x:c r="F871" s="14"/>
      <x:c r="G871" s="14"/>
      <x:c r="H871" s="14"/>
      <x:c r="I871" s="14"/>
      <x:c r="J871" s="14"/>
      <x:c r="K871" s="14"/>
      <x:c r="L871" s="12"/>
      <x:c r="M871" s="12"/>
      <x:c r="N871" s="15" t="n">
        <x:f>IF(OR(L871="Operating",L871="Investing",L871="Financing"),C871,0)</x:f>
        <x:v>0</x:v>
      </x:c>
      <x:c r="O871" s="12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>
      <x:c r="A872" s="1"/>
      <x:c r="B872" s="1"/>
      <x:c r="C872" s="14"/>
      <x:c r="D872" s="14"/>
      <x:c r="E872" s="14"/>
      <x:c r="F872" s="14"/>
      <x:c r="G872" s="14"/>
      <x:c r="H872" s="14"/>
      <x:c r="I872" s="14"/>
      <x:c r="J872" s="14"/>
      <x:c r="K872" s="14"/>
      <x:c r="L872" s="12"/>
      <x:c r="M872" s="12"/>
      <x:c r="N872" s="15" t="n">
        <x:f>IF(OR(L872="Operating",L872="Investing",L872="Financing"),C872,0)</x:f>
        <x:v>0</x:v>
      </x:c>
      <x:c r="O872" s="12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>
      <x:c r="A873" s="1"/>
      <x:c r="B873" s="1"/>
      <x:c r="C873" s="14"/>
      <x:c r="D873" s="14"/>
      <x:c r="E873" s="14"/>
      <x:c r="F873" s="14"/>
      <x:c r="G873" s="14"/>
      <x:c r="H873" s="14"/>
      <x:c r="I873" s="14"/>
      <x:c r="J873" s="14"/>
      <x:c r="K873" s="14"/>
      <x:c r="L873" s="12"/>
      <x:c r="M873" s="12"/>
      <x:c r="N873" s="15" t="n">
        <x:f>IF(OR(L873="Operating",L873="Investing",L873="Financing"),C873,0)</x:f>
        <x:v>0</x:v>
      </x:c>
      <x:c r="O873" s="12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>
      <x:c r="A874" s="1"/>
      <x:c r="B874" s="1"/>
      <x:c r="C874" s="14"/>
      <x:c r="D874" s="14"/>
      <x:c r="E874" s="14"/>
      <x:c r="F874" s="14"/>
      <x:c r="G874" s="14"/>
      <x:c r="H874" s="14"/>
      <x:c r="I874" s="14"/>
      <x:c r="J874" s="14"/>
      <x:c r="K874" s="14"/>
      <x:c r="L874" s="12"/>
      <x:c r="M874" s="12"/>
      <x:c r="N874" s="15" t="n">
        <x:f>IF(OR(L874="Operating",L874="Investing",L874="Financing"),C874,0)</x:f>
        <x:v>0</x:v>
      </x:c>
      <x:c r="O874" s="12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>
      <x:c r="A875" s="1"/>
      <x:c r="B875" s="1"/>
      <x:c r="C875" s="14"/>
      <x:c r="D875" s="14"/>
      <x:c r="E875" s="14"/>
      <x:c r="F875" s="14"/>
      <x:c r="G875" s="14"/>
      <x:c r="H875" s="14"/>
      <x:c r="I875" s="14"/>
      <x:c r="J875" s="14"/>
      <x:c r="K875" s="14"/>
      <x:c r="L875" s="12"/>
      <x:c r="M875" s="12"/>
      <x:c r="N875" s="15" t="n">
        <x:f>IF(OR(L875="Operating",L875="Investing",L875="Financing"),C875,0)</x:f>
        <x:v>0</x:v>
      </x:c>
      <x:c r="O875" s="12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>
      <x:c r="A876" s="1"/>
      <x:c r="B876" s="1"/>
      <x:c r="C876" s="14"/>
      <x:c r="D876" s="14"/>
      <x:c r="E876" s="14"/>
      <x:c r="F876" s="14"/>
      <x:c r="G876" s="14"/>
      <x:c r="H876" s="14"/>
      <x:c r="I876" s="14"/>
      <x:c r="J876" s="14"/>
      <x:c r="K876" s="14"/>
      <x:c r="L876" s="12"/>
      <x:c r="M876" s="12"/>
      <x:c r="N876" s="15" t="n">
        <x:f>IF(OR(L876="Operating",L876="Investing",L876="Financing"),C876,0)</x:f>
        <x:v>0</x:v>
      </x:c>
      <x:c r="O876" s="12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>
      <x:c r="A877" s="1"/>
      <x:c r="B877" s="1"/>
      <x:c r="C877" s="14"/>
      <x:c r="D877" s="14"/>
      <x:c r="E877" s="14"/>
      <x:c r="F877" s="14"/>
      <x:c r="G877" s="14"/>
      <x:c r="H877" s="14"/>
      <x:c r="I877" s="14"/>
      <x:c r="J877" s="14"/>
      <x:c r="K877" s="14"/>
      <x:c r="L877" s="12"/>
      <x:c r="M877" s="12"/>
      <x:c r="N877" s="15" t="n">
        <x:f>IF(OR(L877="Operating",L877="Investing",L877="Financing"),C877,0)</x:f>
        <x:v>0</x:v>
      </x:c>
      <x:c r="O877" s="12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>
      <x:c r="A878" s="1"/>
      <x:c r="B878" s="1"/>
      <x:c r="C878" s="14"/>
      <x:c r="D878" s="14"/>
      <x:c r="E878" s="14"/>
      <x:c r="F878" s="14"/>
      <x:c r="G878" s="14"/>
      <x:c r="H878" s="14"/>
      <x:c r="I878" s="14"/>
      <x:c r="J878" s="14"/>
      <x:c r="K878" s="14"/>
      <x:c r="L878" s="12"/>
      <x:c r="M878" s="12"/>
      <x:c r="N878" s="15" t="n">
        <x:f>IF(OR(L878="Operating",L878="Investing",L878="Financing"),C878,0)</x:f>
        <x:v>0</x:v>
      </x:c>
      <x:c r="O878" s="12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>
      <x:c r="A879" s="1"/>
      <x:c r="B879" s="1"/>
      <x:c r="C879" s="14"/>
      <x:c r="D879" s="14"/>
      <x:c r="E879" s="14"/>
      <x:c r="F879" s="14"/>
      <x:c r="G879" s="14"/>
      <x:c r="H879" s="14"/>
      <x:c r="I879" s="14"/>
      <x:c r="J879" s="14"/>
      <x:c r="K879" s="14"/>
      <x:c r="L879" s="12"/>
      <x:c r="M879" s="12"/>
      <x:c r="N879" s="15" t="n">
        <x:f>IF(OR(L879="Operating",L879="Investing",L879="Financing"),C879,0)</x:f>
        <x:v>0</x:v>
      </x:c>
      <x:c r="O879" s="12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>
      <x:c r="A880" s="1"/>
      <x:c r="B880" s="1"/>
      <x:c r="C880" s="14"/>
      <x:c r="D880" s="14"/>
      <x:c r="E880" s="14"/>
      <x:c r="F880" s="14"/>
      <x:c r="G880" s="14"/>
      <x:c r="H880" s="14"/>
      <x:c r="I880" s="14"/>
      <x:c r="J880" s="14"/>
      <x:c r="K880" s="14"/>
      <x:c r="L880" s="12"/>
      <x:c r="M880" s="12"/>
      <x:c r="N880" s="15" t="n">
        <x:f>IF(OR(L880="Operating",L880="Investing",L880="Financing"),C880,0)</x:f>
        <x:v>0</x:v>
      </x:c>
      <x:c r="O880" s="12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>
      <x:c r="A881" s="1"/>
      <x:c r="B881" s="1"/>
      <x:c r="C881" s="14"/>
      <x:c r="D881" s="14"/>
      <x:c r="E881" s="14"/>
      <x:c r="F881" s="14"/>
      <x:c r="G881" s="14"/>
      <x:c r="H881" s="14"/>
      <x:c r="I881" s="14"/>
      <x:c r="J881" s="14"/>
      <x:c r="K881" s="14"/>
      <x:c r="L881" s="12"/>
      <x:c r="M881" s="12"/>
      <x:c r="N881" s="15" t="n">
        <x:f>IF(OR(L881="Operating",L881="Investing",L881="Financing"),C881,0)</x:f>
        <x:v>0</x:v>
      </x:c>
      <x:c r="O881" s="12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>
      <x:c r="A882" s="1"/>
      <x:c r="B882" s="1"/>
      <x:c r="C882" s="14"/>
      <x:c r="D882" s="14"/>
      <x:c r="E882" s="14"/>
      <x:c r="F882" s="14"/>
      <x:c r="G882" s="14"/>
      <x:c r="H882" s="14"/>
      <x:c r="I882" s="14"/>
      <x:c r="J882" s="14"/>
      <x:c r="K882" s="14"/>
      <x:c r="L882" s="12"/>
      <x:c r="M882" s="12"/>
      <x:c r="N882" s="15" t="n">
        <x:f>IF(OR(L882="Operating",L882="Investing",L882="Financing"),C882,0)</x:f>
        <x:v>0</x:v>
      </x:c>
      <x:c r="O882" s="12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>
      <x:c r="A883" s="1"/>
      <x:c r="B883" s="1"/>
      <x:c r="C883" s="14"/>
      <x:c r="D883" s="14"/>
      <x:c r="E883" s="14"/>
      <x:c r="F883" s="14"/>
      <x:c r="G883" s="14"/>
      <x:c r="H883" s="14"/>
      <x:c r="I883" s="14"/>
      <x:c r="J883" s="14"/>
      <x:c r="K883" s="14"/>
      <x:c r="L883" s="12"/>
      <x:c r="M883" s="12"/>
      <x:c r="N883" s="15" t="n">
        <x:f>IF(OR(L883="Operating",L883="Investing",L883="Financing"),C883,0)</x:f>
        <x:v>0</x:v>
      </x:c>
      <x:c r="O883" s="12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>
      <x:c r="A884" s="1"/>
      <x:c r="B884" s="1"/>
      <x:c r="C884" s="14"/>
      <x:c r="D884" s="14"/>
      <x:c r="E884" s="14"/>
      <x:c r="F884" s="14"/>
      <x:c r="G884" s="14"/>
      <x:c r="H884" s="14"/>
      <x:c r="I884" s="14"/>
      <x:c r="J884" s="14"/>
      <x:c r="K884" s="14"/>
      <x:c r="L884" s="12"/>
      <x:c r="M884" s="12"/>
      <x:c r="N884" s="15" t="n">
        <x:f>IF(OR(L884="Operating",L884="Investing",L884="Financing"),C884,0)</x:f>
        <x:v>0</x:v>
      </x:c>
      <x:c r="O884" s="12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>
      <x:c r="A885" s="1"/>
      <x:c r="B885" s="1"/>
      <x:c r="C885" s="14"/>
      <x:c r="D885" s="14"/>
      <x:c r="E885" s="14"/>
      <x:c r="F885" s="14"/>
      <x:c r="G885" s="14"/>
      <x:c r="H885" s="14"/>
      <x:c r="I885" s="14"/>
      <x:c r="J885" s="14"/>
      <x:c r="K885" s="14"/>
      <x:c r="L885" s="12"/>
      <x:c r="M885" s="12"/>
      <x:c r="N885" s="15" t="n">
        <x:f>IF(OR(L885="Operating",L885="Investing",L885="Financing"),C885,0)</x:f>
        <x:v>0</x:v>
      </x:c>
      <x:c r="O885" s="12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>
      <x:c r="A886" s="1"/>
      <x:c r="B886" s="1"/>
      <x:c r="C886" s="14"/>
      <x:c r="D886" s="14"/>
      <x:c r="E886" s="14"/>
      <x:c r="F886" s="14"/>
      <x:c r="G886" s="14"/>
      <x:c r="H886" s="14"/>
      <x:c r="I886" s="14"/>
      <x:c r="J886" s="14"/>
      <x:c r="K886" s="14"/>
      <x:c r="L886" s="12"/>
      <x:c r="M886" s="12"/>
      <x:c r="N886" s="15" t="n">
        <x:f>IF(OR(L886="Operating",L886="Investing",L886="Financing"),C886,0)</x:f>
        <x:v>0</x:v>
      </x:c>
      <x:c r="O886" s="12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>
      <x:c r="A887" s="1"/>
      <x:c r="B887" s="1"/>
      <x:c r="C887" s="14"/>
      <x:c r="D887" s="14"/>
      <x:c r="E887" s="14"/>
      <x:c r="F887" s="14"/>
      <x:c r="G887" s="14"/>
      <x:c r="H887" s="14"/>
      <x:c r="I887" s="14"/>
      <x:c r="J887" s="14"/>
      <x:c r="K887" s="14"/>
      <x:c r="L887" s="12"/>
      <x:c r="M887" s="12"/>
      <x:c r="N887" s="15" t="n">
        <x:f>IF(OR(L887="Operating",L887="Investing",L887="Financing"),C887,0)</x:f>
        <x:v>0</x:v>
      </x:c>
      <x:c r="O887" s="12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>
      <x:c r="A888" s="1"/>
      <x:c r="B888" s="1"/>
      <x:c r="C888" s="14"/>
      <x:c r="D888" s="14"/>
      <x:c r="E888" s="14"/>
      <x:c r="F888" s="14"/>
      <x:c r="G888" s="14"/>
      <x:c r="H888" s="14"/>
      <x:c r="I888" s="14"/>
      <x:c r="J888" s="14"/>
      <x:c r="K888" s="14"/>
      <x:c r="L888" s="12"/>
      <x:c r="M888" s="12"/>
      <x:c r="N888" s="15" t="n">
        <x:f>IF(OR(L888="Operating",L888="Investing",L888="Financing"),C888,0)</x:f>
        <x:v>0</x:v>
      </x:c>
      <x:c r="O888" s="12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>
      <x:c r="A889" s="1"/>
      <x:c r="B889" s="1"/>
      <x:c r="C889" s="14"/>
      <x:c r="D889" s="14"/>
      <x:c r="E889" s="14"/>
      <x:c r="F889" s="14"/>
      <x:c r="G889" s="14"/>
      <x:c r="H889" s="14"/>
      <x:c r="I889" s="14"/>
      <x:c r="J889" s="14"/>
      <x:c r="K889" s="14"/>
      <x:c r="L889" s="12"/>
      <x:c r="M889" s="12"/>
      <x:c r="N889" s="15" t="n">
        <x:f>IF(OR(L889="Operating",L889="Investing",L889="Financing"),C889,0)</x:f>
        <x:v>0</x:v>
      </x:c>
      <x:c r="O889" s="12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>
      <x:c r="A890" s="1"/>
      <x:c r="B890" s="1"/>
      <x:c r="C890" s="14"/>
      <x:c r="D890" s="14"/>
      <x:c r="E890" s="14"/>
      <x:c r="F890" s="14"/>
      <x:c r="G890" s="14"/>
      <x:c r="H890" s="14"/>
      <x:c r="I890" s="14"/>
      <x:c r="J890" s="14"/>
      <x:c r="K890" s="14"/>
      <x:c r="L890" s="12"/>
      <x:c r="M890" s="12"/>
      <x:c r="N890" s="15" t="n">
        <x:f>IF(OR(L890="Operating",L890="Investing",L890="Financing"),C890,0)</x:f>
        <x:v>0</x:v>
      </x:c>
      <x:c r="O890" s="12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>
      <x:c r="A891" s="1"/>
      <x:c r="B891" s="1"/>
      <x:c r="C891" s="14"/>
      <x:c r="D891" s="14"/>
      <x:c r="E891" s="14"/>
      <x:c r="F891" s="14"/>
      <x:c r="G891" s="14"/>
      <x:c r="H891" s="14"/>
      <x:c r="I891" s="14"/>
      <x:c r="J891" s="14"/>
      <x:c r="K891" s="14"/>
      <x:c r="L891" s="12"/>
      <x:c r="M891" s="12"/>
      <x:c r="N891" s="15" t="n">
        <x:f>IF(OR(L891="Operating",L891="Investing",L891="Financing"),C891,0)</x:f>
        <x:v>0</x:v>
      </x:c>
      <x:c r="O891" s="12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>
      <x:c r="A892" s="1"/>
      <x:c r="B892" s="1"/>
      <x:c r="C892" s="14"/>
      <x:c r="D892" s="14"/>
      <x:c r="E892" s="14"/>
      <x:c r="F892" s="14"/>
      <x:c r="G892" s="14"/>
      <x:c r="H892" s="14"/>
      <x:c r="I892" s="14"/>
      <x:c r="J892" s="14"/>
      <x:c r="K892" s="14"/>
      <x:c r="L892" s="12"/>
      <x:c r="M892" s="12"/>
      <x:c r="N892" s="15" t="n">
        <x:f>IF(OR(L892="Operating",L892="Investing",L892="Financing"),C892,0)</x:f>
        <x:v>0</x:v>
      </x:c>
      <x:c r="O892" s="12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>
      <x:c r="A893" s="1"/>
      <x:c r="B893" s="1"/>
      <x:c r="C893" s="14"/>
      <x:c r="D893" s="14"/>
      <x:c r="E893" s="14"/>
      <x:c r="F893" s="14"/>
      <x:c r="G893" s="14"/>
      <x:c r="H893" s="14"/>
      <x:c r="I893" s="14"/>
      <x:c r="J893" s="14"/>
      <x:c r="K893" s="14"/>
      <x:c r="L893" s="12"/>
      <x:c r="M893" s="12"/>
      <x:c r="N893" s="15" t="n">
        <x:f>IF(OR(L893="Operating",L893="Investing",L893="Financing"),C893,0)</x:f>
        <x:v>0</x:v>
      </x:c>
      <x:c r="O893" s="12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>
      <x:c r="A894" s="1"/>
      <x:c r="B894" s="1"/>
      <x:c r="C894" s="14"/>
      <x:c r="D894" s="14"/>
      <x:c r="E894" s="14"/>
      <x:c r="F894" s="14"/>
      <x:c r="G894" s="14"/>
      <x:c r="H894" s="14"/>
      <x:c r="I894" s="14"/>
      <x:c r="J894" s="14"/>
      <x:c r="K894" s="14"/>
      <x:c r="L894" s="12"/>
      <x:c r="M894" s="12"/>
      <x:c r="N894" s="15" t="n">
        <x:f>IF(OR(L894="Operating",L894="Investing",L894="Financing"),C894,0)</x:f>
        <x:v>0</x:v>
      </x:c>
      <x:c r="O894" s="12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>
      <x:c r="A895" s="1"/>
      <x:c r="B895" s="1"/>
      <x:c r="C895" s="14"/>
      <x:c r="D895" s="14"/>
      <x:c r="E895" s="14"/>
      <x:c r="F895" s="14"/>
      <x:c r="G895" s="14"/>
      <x:c r="H895" s="14"/>
      <x:c r="I895" s="14"/>
      <x:c r="J895" s="14"/>
      <x:c r="K895" s="14"/>
      <x:c r="L895" s="12"/>
      <x:c r="M895" s="12"/>
      <x:c r="N895" s="15" t="n">
        <x:f>IF(OR(L895="Operating",L895="Investing",L895="Financing"),C895,0)</x:f>
        <x:v>0</x:v>
      </x:c>
      <x:c r="O895" s="12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>
      <x:c r="A896" s="1"/>
      <x:c r="B896" s="1"/>
      <x:c r="C896" s="14"/>
      <x:c r="D896" s="14"/>
      <x:c r="E896" s="14"/>
      <x:c r="F896" s="14"/>
      <x:c r="G896" s="14"/>
      <x:c r="H896" s="14"/>
      <x:c r="I896" s="14"/>
      <x:c r="J896" s="14"/>
      <x:c r="K896" s="14"/>
      <x:c r="L896" s="12"/>
      <x:c r="M896" s="12"/>
      <x:c r="N896" s="15" t="n">
        <x:f>IF(OR(L896="Operating",L896="Investing",L896="Financing"),C896,0)</x:f>
        <x:v>0</x:v>
      </x:c>
      <x:c r="O896" s="12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>
      <x:c r="A897" s="1"/>
      <x:c r="B897" s="1"/>
      <x:c r="C897" s="14"/>
      <x:c r="D897" s="14"/>
      <x:c r="E897" s="14"/>
      <x:c r="F897" s="14"/>
      <x:c r="G897" s="14"/>
      <x:c r="H897" s="14"/>
      <x:c r="I897" s="14"/>
      <x:c r="J897" s="14"/>
      <x:c r="K897" s="14"/>
      <x:c r="L897" s="12"/>
      <x:c r="M897" s="12"/>
      <x:c r="N897" s="15" t="n">
        <x:f>IF(OR(L897="Operating",L897="Investing",L897="Financing"),C897,0)</x:f>
        <x:v>0</x:v>
      </x:c>
      <x:c r="O897" s="12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>
      <x:c r="A898" s="1"/>
      <x:c r="B898" s="1"/>
      <x:c r="C898" s="14"/>
      <x:c r="D898" s="14"/>
      <x:c r="E898" s="14"/>
      <x:c r="F898" s="14"/>
      <x:c r="G898" s="14"/>
      <x:c r="H898" s="14"/>
      <x:c r="I898" s="14"/>
      <x:c r="J898" s="14"/>
      <x:c r="K898" s="14"/>
      <x:c r="L898" s="12"/>
      <x:c r="M898" s="12"/>
      <x:c r="N898" s="15" t="n">
        <x:f>IF(OR(L898="Operating",L898="Investing",L898="Financing"),C898,0)</x:f>
        <x:v>0</x:v>
      </x:c>
      <x:c r="O898" s="12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>
      <x:c r="A899" s="1"/>
      <x:c r="B899" s="1"/>
      <x:c r="C899" s="14"/>
      <x:c r="D899" s="14"/>
      <x:c r="E899" s="14"/>
      <x:c r="F899" s="14"/>
      <x:c r="G899" s="14"/>
      <x:c r="H899" s="14"/>
      <x:c r="I899" s="14"/>
      <x:c r="J899" s="14"/>
      <x:c r="K899" s="14"/>
      <x:c r="L899" s="12"/>
      <x:c r="M899" s="12"/>
      <x:c r="N899" s="15" t="n">
        <x:f>IF(OR(L899="Operating",L899="Investing",L899="Financing"),C899,0)</x:f>
        <x:v>0</x:v>
      </x:c>
      <x:c r="O899" s="12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>
      <x:c r="A900" s="1"/>
      <x:c r="B900" s="1"/>
      <x:c r="C900" s="14"/>
      <x:c r="D900" s="14"/>
      <x:c r="E900" s="14"/>
      <x:c r="F900" s="14"/>
      <x:c r="G900" s="14"/>
      <x:c r="H900" s="14"/>
      <x:c r="I900" s="14"/>
      <x:c r="J900" s="14"/>
      <x:c r="K900" s="14"/>
      <x:c r="L900" s="12"/>
      <x:c r="M900" s="12"/>
      <x:c r="N900" s="15" t="n">
        <x:f>IF(OR(L900="Operating",L900="Investing",L900="Financing"),C900,0)</x:f>
        <x:v>0</x:v>
      </x:c>
      <x:c r="O900" s="12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>
      <x:c r="A901" s="1"/>
      <x:c r="B901" s="1"/>
      <x:c r="C901" s="14"/>
      <x:c r="D901" s="14"/>
      <x:c r="E901" s="14"/>
      <x:c r="F901" s="14"/>
      <x:c r="G901" s="14"/>
      <x:c r="H901" s="14"/>
      <x:c r="I901" s="14"/>
      <x:c r="J901" s="14"/>
      <x:c r="K901" s="14"/>
      <x:c r="L901" s="12"/>
      <x:c r="M901" s="12"/>
      <x:c r="N901" s="15" t="n">
        <x:f>IF(OR(L901="Operating",L901="Investing",L901="Financing"),C901,0)</x:f>
        <x:v>0</x:v>
      </x:c>
      <x:c r="O901" s="12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>
      <x:c r="A902" s="1"/>
      <x:c r="B902" s="1"/>
      <x:c r="C902" s="14"/>
      <x:c r="D902" s="14"/>
      <x:c r="E902" s="14"/>
      <x:c r="F902" s="14"/>
      <x:c r="G902" s="14"/>
      <x:c r="H902" s="14"/>
      <x:c r="I902" s="14"/>
      <x:c r="J902" s="14"/>
      <x:c r="K902" s="14"/>
      <x:c r="L902" s="12"/>
      <x:c r="M902" s="12"/>
      <x:c r="N902" s="15" t="n">
        <x:f>IF(OR(L902="Operating",L902="Investing",L902="Financing"),C902,0)</x:f>
        <x:v>0</x:v>
      </x:c>
      <x:c r="O902" s="12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>
      <x:c r="A903" s="1"/>
      <x:c r="B903" s="1"/>
      <x:c r="C903" s="14"/>
      <x:c r="D903" s="14"/>
      <x:c r="E903" s="14"/>
      <x:c r="F903" s="14"/>
      <x:c r="G903" s="14"/>
      <x:c r="H903" s="14"/>
      <x:c r="I903" s="14"/>
      <x:c r="J903" s="14"/>
      <x:c r="K903" s="14"/>
      <x:c r="L903" s="12"/>
      <x:c r="M903" s="12"/>
      <x:c r="N903" s="15" t="n">
        <x:f>IF(OR(L903="Operating",L903="Investing",L903="Financing"),C903,0)</x:f>
        <x:v>0</x:v>
      </x:c>
      <x:c r="O903" s="12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>
      <x:c r="A904" s="1"/>
      <x:c r="B904" s="1"/>
      <x:c r="C904" s="14"/>
      <x:c r="D904" s="14"/>
      <x:c r="E904" s="14"/>
      <x:c r="F904" s="14"/>
      <x:c r="G904" s="14"/>
      <x:c r="H904" s="14"/>
      <x:c r="I904" s="14"/>
      <x:c r="J904" s="14"/>
      <x:c r="K904" s="14"/>
      <x:c r="L904" s="12"/>
      <x:c r="M904" s="12"/>
      <x:c r="N904" s="15" t="n">
        <x:f>IF(OR(L904="Operating",L904="Investing",L904="Financing"),C904,0)</x:f>
        <x:v>0</x:v>
      </x:c>
      <x:c r="O904" s="12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>
      <x:c r="A905" s="1"/>
      <x:c r="B905" s="1"/>
      <x:c r="C905" s="14"/>
      <x:c r="D905" s="14"/>
      <x:c r="E905" s="14"/>
      <x:c r="F905" s="14"/>
      <x:c r="G905" s="14"/>
      <x:c r="H905" s="14"/>
      <x:c r="I905" s="14"/>
      <x:c r="J905" s="14"/>
      <x:c r="K905" s="14"/>
      <x:c r="L905" s="12"/>
      <x:c r="M905" s="12"/>
      <x:c r="N905" s="15" t="n">
        <x:f>IF(OR(L905="Operating",L905="Investing",L905="Financing"),C905,0)</x:f>
        <x:v>0</x:v>
      </x:c>
      <x:c r="O905" s="12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>
      <x:c r="A906" s="1"/>
      <x:c r="B906" s="1"/>
      <x:c r="C906" s="14"/>
      <x:c r="D906" s="14"/>
      <x:c r="E906" s="14"/>
      <x:c r="F906" s="14"/>
      <x:c r="G906" s="14"/>
      <x:c r="H906" s="14"/>
      <x:c r="I906" s="14"/>
      <x:c r="J906" s="14"/>
      <x:c r="K906" s="14"/>
      <x:c r="L906" s="12"/>
      <x:c r="M906" s="12"/>
      <x:c r="N906" s="15" t="n">
        <x:f>IF(OR(L906="Operating",L906="Investing",L906="Financing"),C906,0)</x:f>
        <x:v>0</x:v>
      </x:c>
      <x:c r="O906" s="12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>
      <x:c r="A907" s="1"/>
      <x:c r="B907" s="1"/>
      <x:c r="C907" s="14"/>
      <x:c r="D907" s="14"/>
      <x:c r="E907" s="14"/>
      <x:c r="F907" s="14"/>
      <x:c r="G907" s="14"/>
      <x:c r="H907" s="14"/>
      <x:c r="I907" s="14"/>
      <x:c r="J907" s="14"/>
      <x:c r="K907" s="14"/>
      <x:c r="L907" s="12"/>
      <x:c r="M907" s="12"/>
      <x:c r="N907" s="15" t="n">
        <x:f>IF(OR(L907="Operating",L907="Investing",L907="Financing"),C907,0)</x:f>
        <x:v>0</x:v>
      </x:c>
      <x:c r="O907" s="12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>
      <x:c r="A908" s="1"/>
      <x:c r="B908" s="1"/>
      <x:c r="C908" s="14"/>
      <x:c r="D908" s="14"/>
      <x:c r="E908" s="14"/>
      <x:c r="F908" s="14"/>
      <x:c r="G908" s="14"/>
      <x:c r="H908" s="14"/>
      <x:c r="I908" s="14"/>
      <x:c r="J908" s="14"/>
      <x:c r="K908" s="14"/>
      <x:c r="L908" s="12"/>
      <x:c r="M908" s="12"/>
      <x:c r="N908" s="15" t="n">
        <x:f>IF(OR(L908="Operating",L908="Investing",L908="Financing"),C908,0)</x:f>
        <x:v>0</x:v>
      </x:c>
      <x:c r="O908" s="12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>
      <x:c r="A909" s="1"/>
      <x:c r="B909" s="1"/>
      <x:c r="C909" s="14"/>
      <x:c r="D909" s="14"/>
      <x:c r="E909" s="14"/>
      <x:c r="F909" s="14"/>
      <x:c r="G909" s="14"/>
      <x:c r="H909" s="14"/>
      <x:c r="I909" s="14"/>
      <x:c r="J909" s="14"/>
      <x:c r="K909" s="14"/>
      <x:c r="L909" s="12"/>
      <x:c r="M909" s="12"/>
      <x:c r="N909" s="15" t="n">
        <x:f>IF(OR(L909="Operating",L909="Investing",L909="Financing"),C909,0)</x:f>
        <x:v>0</x:v>
      </x:c>
      <x:c r="O909" s="12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>
      <x:c r="A910" s="1"/>
      <x:c r="B910" s="1"/>
      <x:c r="C910" s="14"/>
      <x:c r="D910" s="14"/>
      <x:c r="E910" s="14"/>
      <x:c r="F910" s="14"/>
      <x:c r="G910" s="14"/>
      <x:c r="H910" s="14"/>
      <x:c r="I910" s="14"/>
      <x:c r="J910" s="14"/>
      <x:c r="K910" s="14"/>
      <x:c r="L910" s="12"/>
      <x:c r="M910" s="12"/>
      <x:c r="N910" s="15" t="n">
        <x:f>IF(OR(L910="Operating",L910="Investing",L910="Financing"),C910,0)</x:f>
        <x:v>0</x:v>
      </x:c>
      <x:c r="O910" s="12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>
      <x:c r="A911" s="1"/>
      <x:c r="B911" s="1"/>
      <x:c r="C911" s="14"/>
      <x:c r="D911" s="14"/>
      <x:c r="E911" s="14"/>
      <x:c r="F911" s="14"/>
      <x:c r="G911" s="14"/>
      <x:c r="H911" s="14"/>
      <x:c r="I911" s="14"/>
      <x:c r="J911" s="14"/>
      <x:c r="K911" s="14"/>
      <x:c r="L911" s="12"/>
      <x:c r="M911" s="12"/>
      <x:c r="N911" s="15" t="n">
        <x:f>IF(OR(L911="Operating",L911="Investing",L911="Financing"),C911,0)</x:f>
        <x:v>0</x:v>
      </x:c>
      <x:c r="O911" s="12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>
      <x:c r="A912" s="1"/>
      <x:c r="B912" s="1"/>
      <x:c r="C912" s="14"/>
      <x:c r="D912" s="14"/>
      <x:c r="E912" s="14"/>
      <x:c r="F912" s="14"/>
      <x:c r="G912" s="14"/>
      <x:c r="H912" s="14"/>
      <x:c r="I912" s="14"/>
      <x:c r="J912" s="14"/>
      <x:c r="K912" s="14"/>
      <x:c r="L912" s="12"/>
      <x:c r="M912" s="12"/>
      <x:c r="N912" s="15" t="n">
        <x:f>IF(OR(L912="Operating",L912="Investing",L912="Financing"),C912,0)</x:f>
        <x:v>0</x:v>
      </x:c>
      <x:c r="O912" s="12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>
      <x:c r="A913" s="1"/>
      <x:c r="B913" s="1"/>
      <x:c r="C913" s="14"/>
      <x:c r="D913" s="14"/>
      <x:c r="E913" s="14"/>
      <x:c r="F913" s="14"/>
      <x:c r="G913" s="14"/>
      <x:c r="H913" s="14"/>
      <x:c r="I913" s="14"/>
      <x:c r="J913" s="14"/>
      <x:c r="K913" s="14"/>
      <x:c r="L913" s="12"/>
      <x:c r="M913" s="12"/>
      <x:c r="N913" s="15" t="n">
        <x:f>IF(OR(L913="Operating",L913="Investing",L913="Financing"),C913,0)</x:f>
        <x:v>0</x:v>
      </x:c>
      <x:c r="O913" s="12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>
      <x:c r="A914" s="1"/>
      <x:c r="B914" s="1"/>
      <x:c r="C914" s="14"/>
      <x:c r="D914" s="14"/>
      <x:c r="E914" s="14"/>
      <x:c r="F914" s="14"/>
      <x:c r="G914" s="14"/>
      <x:c r="H914" s="14"/>
      <x:c r="I914" s="14"/>
      <x:c r="J914" s="14"/>
      <x:c r="K914" s="14"/>
      <x:c r="L914" s="12"/>
      <x:c r="M914" s="12"/>
      <x:c r="N914" s="15" t="n">
        <x:f>IF(OR(L914="Operating",L914="Investing",L914="Financing"),C914,0)</x:f>
        <x:v>0</x:v>
      </x:c>
      <x:c r="O914" s="12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>
      <x:c r="A915" s="1"/>
      <x:c r="B915" s="1"/>
      <x:c r="C915" s="14"/>
      <x:c r="D915" s="14"/>
      <x:c r="E915" s="14"/>
      <x:c r="F915" s="14"/>
      <x:c r="G915" s="14"/>
      <x:c r="H915" s="14"/>
      <x:c r="I915" s="14"/>
      <x:c r="J915" s="14"/>
      <x:c r="K915" s="14"/>
      <x:c r="L915" s="12"/>
      <x:c r="M915" s="12"/>
      <x:c r="N915" s="15" t="n">
        <x:f>IF(OR(L915="Operating",L915="Investing",L915="Financing"),C915,0)</x:f>
        <x:v>0</x:v>
      </x:c>
      <x:c r="O915" s="12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>
      <x:c r="A916" s="1"/>
      <x:c r="B916" s="1"/>
      <x:c r="C916" s="14"/>
      <x:c r="D916" s="14"/>
      <x:c r="E916" s="14"/>
      <x:c r="F916" s="14"/>
      <x:c r="G916" s="14"/>
      <x:c r="H916" s="14"/>
      <x:c r="I916" s="14"/>
      <x:c r="J916" s="14"/>
      <x:c r="K916" s="14"/>
      <x:c r="L916" s="12"/>
      <x:c r="M916" s="12"/>
      <x:c r="N916" s="15" t="n">
        <x:f>IF(OR(L916="Operating",L916="Investing",L916="Financing"),C916,0)</x:f>
        <x:v>0</x:v>
      </x:c>
      <x:c r="O916" s="12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>
      <x:c r="A917" s="1"/>
      <x:c r="B917" s="1"/>
      <x:c r="C917" s="14"/>
      <x:c r="D917" s="14"/>
      <x:c r="E917" s="14"/>
      <x:c r="F917" s="14"/>
      <x:c r="G917" s="14"/>
      <x:c r="H917" s="14"/>
      <x:c r="I917" s="14"/>
      <x:c r="J917" s="14"/>
      <x:c r="K917" s="14"/>
      <x:c r="L917" s="12"/>
      <x:c r="M917" s="12"/>
      <x:c r="N917" s="15" t="n">
        <x:f>IF(OR(L917="Operating",L917="Investing",L917="Financing"),C917,0)</x:f>
        <x:v>0</x:v>
      </x:c>
      <x:c r="O917" s="12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>
      <x:c r="A918" s="1"/>
      <x:c r="B918" s="1"/>
      <x:c r="C918" s="14"/>
      <x:c r="D918" s="14"/>
      <x:c r="E918" s="14"/>
      <x:c r="F918" s="14"/>
      <x:c r="G918" s="14"/>
      <x:c r="H918" s="14"/>
      <x:c r="I918" s="14"/>
      <x:c r="J918" s="14"/>
      <x:c r="K918" s="14"/>
      <x:c r="L918" s="12"/>
      <x:c r="M918" s="12"/>
      <x:c r="N918" s="15" t="n">
        <x:f>IF(OR(L918="Operating",L918="Investing",L918="Financing"),C918,0)</x:f>
        <x:v>0</x:v>
      </x:c>
      <x:c r="O918" s="12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>
      <x:c r="A919" s="1"/>
      <x:c r="B919" s="1"/>
      <x:c r="C919" s="14"/>
      <x:c r="D919" s="14"/>
      <x:c r="E919" s="14"/>
      <x:c r="F919" s="14"/>
      <x:c r="G919" s="14"/>
      <x:c r="H919" s="14"/>
      <x:c r="I919" s="14"/>
      <x:c r="J919" s="14"/>
      <x:c r="K919" s="14"/>
      <x:c r="L919" s="12"/>
      <x:c r="M919" s="12"/>
      <x:c r="N919" s="15" t="n">
        <x:f>IF(OR(L919="Operating",L919="Investing",L919="Financing"),C919,0)</x:f>
        <x:v>0</x:v>
      </x:c>
      <x:c r="O919" s="12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>
      <x:c r="A920" s="1"/>
      <x:c r="B920" s="1"/>
      <x:c r="C920" s="14"/>
      <x:c r="D920" s="14"/>
      <x:c r="E920" s="14"/>
      <x:c r="F920" s="14"/>
      <x:c r="G920" s="14"/>
      <x:c r="H920" s="14"/>
      <x:c r="I920" s="14"/>
      <x:c r="J920" s="14"/>
      <x:c r="K920" s="14"/>
      <x:c r="L920" s="12"/>
      <x:c r="M920" s="12"/>
      <x:c r="N920" s="15" t="n">
        <x:f>IF(OR(L920="Operating",L920="Investing",L920="Financing"),C920,0)</x:f>
        <x:v>0</x:v>
      </x:c>
      <x:c r="O920" s="12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>
      <x:c r="A921" s="1"/>
      <x:c r="B921" s="1"/>
      <x:c r="C921" s="14"/>
      <x:c r="D921" s="14"/>
      <x:c r="E921" s="14"/>
      <x:c r="F921" s="14"/>
      <x:c r="G921" s="14"/>
      <x:c r="H921" s="14"/>
      <x:c r="I921" s="14"/>
      <x:c r="J921" s="14"/>
      <x:c r="K921" s="14"/>
      <x:c r="L921" s="12"/>
      <x:c r="M921" s="12"/>
      <x:c r="N921" s="15" t="n">
        <x:f>IF(OR(L921="Operating",L921="Investing",L921="Financing"),C921,0)</x:f>
        <x:v>0</x:v>
      </x:c>
      <x:c r="O921" s="12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>
      <x:c r="A922" s="1"/>
      <x:c r="B922" s="1"/>
      <x:c r="C922" s="14"/>
      <x:c r="D922" s="14"/>
      <x:c r="E922" s="14"/>
      <x:c r="F922" s="14"/>
      <x:c r="G922" s="14"/>
      <x:c r="H922" s="14"/>
      <x:c r="I922" s="14"/>
      <x:c r="J922" s="14"/>
      <x:c r="K922" s="14"/>
      <x:c r="L922" s="12"/>
      <x:c r="M922" s="12"/>
      <x:c r="N922" s="15" t="n">
        <x:f>IF(OR(L922="Operating",L922="Investing",L922="Financing"),C922,0)</x:f>
        <x:v>0</x:v>
      </x:c>
      <x:c r="O922" s="12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>
      <x:c r="A923" s="1"/>
      <x:c r="B923" s="1"/>
      <x:c r="C923" s="14"/>
      <x:c r="D923" s="14"/>
      <x:c r="E923" s="14"/>
      <x:c r="F923" s="14"/>
      <x:c r="G923" s="14"/>
      <x:c r="H923" s="14"/>
      <x:c r="I923" s="14"/>
      <x:c r="J923" s="14"/>
      <x:c r="K923" s="14"/>
      <x:c r="L923" s="12"/>
      <x:c r="M923" s="12"/>
      <x:c r="N923" s="15" t="n">
        <x:f>IF(OR(L923="Operating",L923="Investing",L923="Financing"),C923,0)</x:f>
        <x:v>0</x:v>
      </x:c>
      <x:c r="O923" s="12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>
      <x:c r="A924" s="1"/>
      <x:c r="B924" s="1"/>
      <x:c r="C924" s="14"/>
      <x:c r="D924" s="14"/>
      <x:c r="E924" s="14"/>
      <x:c r="F924" s="14"/>
      <x:c r="G924" s="14"/>
      <x:c r="H924" s="14"/>
      <x:c r="I924" s="14"/>
      <x:c r="J924" s="14"/>
      <x:c r="K924" s="14"/>
      <x:c r="L924" s="12"/>
      <x:c r="M924" s="12"/>
      <x:c r="N924" s="15" t="n">
        <x:f>IF(OR(L924="Operating",L924="Investing",L924="Financing"),C924,0)</x:f>
        <x:v>0</x:v>
      </x:c>
      <x:c r="O924" s="12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>
      <x:c r="A925" s="1"/>
      <x:c r="B925" s="1"/>
      <x:c r="C925" s="14"/>
      <x:c r="D925" s="14"/>
      <x:c r="E925" s="14"/>
      <x:c r="F925" s="14"/>
      <x:c r="G925" s="14"/>
      <x:c r="H925" s="14"/>
      <x:c r="I925" s="14"/>
      <x:c r="J925" s="14"/>
      <x:c r="K925" s="14"/>
      <x:c r="L925" s="12"/>
      <x:c r="M925" s="12"/>
      <x:c r="N925" s="15" t="n">
        <x:f>IF(OR(L925="Operating",L925="Investing",L925="Financing"),C925,0)</x:f>
        <x:v>0</x:v>
      </x:c>
      <x:c r="O925" s="12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>
      <x:c r="A926" s="1"/>
      <x:c r="B926" s="1"/>
      <x:c r="C926" s="14"/>
      <x:c r="D926" s="14"/>
      <x:c r="E926" s="14"/>
      <x:c r="F926" s="14"/>
      <x:c r="G926" s="14"/>
      <x:c r="H926" s="14"/>
      <x:c r="I926" s="14"/>
      <x:c r="J926" s="14"/>
      <x:c r="K926" s="14"/>
      <x:c r="L926" s="12"/>
      <x:c r="M926" s="12"/>
      <x:c r="N926" s="15" t="n">
        <x:f>IF(OR(L926="Operating",L926="Investing",L926="Financing"),C926,0)</x:f>
        <x:v>0</x:v>
      </x:c>
      <x:c r="O926" s="12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>
      <x:c r="A927" s="1"/>
      <x:c r="B927" s="1"/>
      <x:c r="C927" s="14"/>
      <x:c r="D927" s="14"/>
      <x:c r="E927" s="14"/>
      <x:c r="F927" s="14"/>
      <x:c r="G927" s="14"/>
      <x:c r="H927" s="14"/>
      <x:c r="I927" s="14"/>
      <x:c r="J927" s="14"/>
      <x:c r="K927" s="14"/>
      <x:c r="L927" s="12"/>
      <x:c r="M927" s="12"/>
      <x:c r="N927" s="15" t="n">
        <x:f>IF(OR(L927="Operating",L927="Investing",L927="Financing"),C927,0)</x:f>
        <x:v>0</x:v>
      </x:c>
      <x:c r="O927" s="12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>
      <x:c r="A928" s="1"/>
      <x:c r="B928" s="1"/>
      <x:c r="C928" s="14"/>
      <x:c r="D928" s="14"/>
      <x:c r="E928" s="14"/>
      <x:c r="F928" s="14"/>
      <x:c r="G928" s="14"/>
      <x:c r="H928" s="14"/>
      <x:c r="I928" s="14"/>
      <x:c r="J928" s="14"/>
      <x:c r="K928" s="14"/>
      <x:c r="L928" s="12"/>
      <x:c r="M928" s="12"/>
      <x:c r="N928" s="15" t="n">
        <x:f>IF(OR(L928="Operating",L928="Investing",L928="Financing"),C928,0)</x:f>
        <x:v>0</x:v>
      </x:c>
      <x:c r="O928" s="12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>
      <x:c r="A929" s="1"/>
      <x:c r="B929" s="1"/>
      <x:c r="C929" s="14"/>
      <x:c r="D929" s="14"/>
      <x:c r="E929" s="14"/>
      <x:c r="F929" s="14"/>
      <x:c r="G929" s="14"/>
      <x:c r="H929" s="14"/>
      <x:c r="I929" s="14"/>
      <x:c r="J929" s="14"/>
      <x:c r="K929" s="14"/>
      <x:c r="L929" s="12"/>
      <x:c r="M929" s="12"/>
      <x:c r="N929" s="15" t="n">
        <x:f>IF(OR(L929="Operating",L929="Investing",L929="Financing"),C929,0)</x:f>
        <x:v>0</x:v>
      </x:c>
      <x:c r="O929" s="12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>
      <x:c r="A930" s="1"/>
      <x:c r="B930" s="1"/>
      <x:c r="C930" s="14"/>
      <x:c r="D930" s="14"/>
      <x:c r="E930" s="14"/>
      <x:c r="F930" s="14"/>
      <x:c r="G930" s="14"/>
      <x:c r="H930" s="14"/>
      <x:c r="I930" s="14"/>
      <x:c r="J930" s="14"/>
      <x:c r="K930" s="14"/>
      <x:c r="L930" s="12"/>
      <x:c r="M930" s="12"/>
      <x:c r="N930" s="15" t="n">
        <x:f>IF(OR(L930="Operating",L930="Investing",L930="Financing"),C930,0)</x:f>
        <x:v>0</x:v>
      </x:c>
      <x:c r="O930" s="12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>
      <x:c r="A931" s="1"/>
      <x:c r="B931" s="1"/>
      <x:c r="C931" s="14"/>
      <x:c r="D931" s="14"/>
      <x:c r="E931" s="14"/>
      <x:c r="F931" s="14"/>
      <x:c r="G931" s="14"/>
      <x:c r="H931" s="14"/>
      <x:c r="I931" s="14"/>
      <x:c r="J931" s="14"/>
      <x:c r="K931" s="14"/>
      <x:c r="L931" s="12"/>
      <x:c r="M931" s="12"/>
      <x:c r="N931" s="15" t="n">
        <x:f>IF(OR(L931="Operating",L931="Investing",L931="Financing"),C931,0)</x:f>
        <x:v>0</x:v>
      </x:c>
      <x:c r="O931" s="12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>
      <x:c r="A932" s="1"/>
      <x:c r="B932" s="1"/>
      <x:c r="C932" s="14"/>
      <x:c r="D932" s="14"/>
      <x:c r="E932" s="14"/>
      <x:c r="F932" s="14"/>
      <x:c r="G932" s="14"/>
      <x:c r="H932" s="14"/>
      <x:c r="I932" s="14"/>
      <x:c r="J932" s="14"/>
      <x:c r="K932" s="14"/>
      <x:c r="L932" s="12"/>
      <x:c r="M932" s="12"/>
      <x:c r="N932" s="15" t="n">
        <x:f>IF(OR(L932="Operating",L932="Investing",L932="Financing"),C932,0)</x:f>
        <x:v>0</x:v>
      </x:c>
      <x:c r="O932" s="12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>
      <x:c r="A933" s="1"/>
      <x:c r="B933" s="1"/>
      <x:c r="C933" s="14"/>
      <x:c r="D933" s="14"/>
      <x:c r="E933" s="14"/>
      <x:c r="F933" s="14"/>
      <x:c r="G933" s="14"/>
      <x:c r="H933" s="14"/>
      <x:c r="I933" s="14"/>
      <x:c r="J933" s="14"/>
      <x:c r="K933" s="14"/>
      <x:c r="L933" s="12"/>
      <x:c r="M933" s="12"/>
      <x:c r="N933" s="15" t="n">
        <x:f>IF(OR(L933="Operating",L933="Investing",L933="Financing"),C933,0)</x:f>
        <x:v>0</x:v>
      </x:c>
      <x:c r="O933" s="12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>
      <x:c r="A934" s="1"/>
      <x:c r="B934" s="1"/>
      <x:c r="C934" s="14"/>
      <x:c r="D934" s="14"/>
      <x:c r="E934" s="14"/>
      <x:c r="F934" s="14"/>
      <x:c r="G934" s="14"/>
      <x:c r="H934" s="14"/>
      <x:c r="I934" s="14"/>
      <x:c r="J934" s="14"/>
      <x:c r="K934" s="14"/>
      <x:c r="L934" s="12"/>
      <x:c r="M934" s="12"/>
      <x:c r="N934" s="15" t="n">
        <x:f>IF(OR(L934="Operating",L934="Investing",L934="Financing"),C934,0)</x:f>
        <x:v>0</x:v>
      </x:c>
      <x:c r="O934" s="12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>
      <x:c r="A935" s="1"/>
      <x:c r="B935" s="1"/>
      <x:c r="C935" s="14"/>
      <x:c r="D935" s="14"/>
      <x:c r="E935" s="14"/>
      <x:c r="F935" s="14"/>
      <x:c r="G935" s="14"/>
      <x:c r="H935" s="14"/>
      <x:c r="I935" s="14"/>
      <x:c r="J935" s="14"/>
      <x:c r="K935" s="14"/>
      <x:c r="L935" s="12"/>
      <x:c r="M935" s="12"/>
      <x:c r="N935" s="15" t="n">
        <x:f>IF(OR(L935="Operating",L935="Investing",L935="Financing"),C935,0)</x:f>
        <x:v>0</x:v>
      </x:c>
      <x:c r="O935" s="12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>
      <x:c r="A936" s="1"/>
      <x:c r="B936" s="1"/>
      <x:c r="C936" s="14"/>
      <x:c r="D936" s="14"/>
      <x:c r="E936" s="14"/>
      <x:c r="F936" s="14"/>
      <x:c r="G936" s="14"/>
      <x:c r="H936" s="14"/>
      <x:c r="I936" s="14"/>
      <x:c r="J936" s="14"/>
      <x:c r="K936" s="14"/>
      <x:c r="L936" s="12"/>
      <x:c r="M936" s="12"/>
      <x:c r="N936" s="15" t="n">
        <x:f>IF(OR(L936="Operating",L936="Investing",L936="Financing"),C936,0)</x:f>
        <x:v>0</x:v>
      </x:c>
      <x:c r="O936" s="12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>
      <x:c r="A937" s="1"/>
      <x:c r="B937" s="1"/>
      <x:c r="C937" s="14"/>
      <x:c r="D937" s="14"/>
      <x:c r="E937" s="14"/>
      <x:c r="F937" s="14"/>
      <x:c r="G937" s="14"/>
      <x:c r="H937" s="14"/>
      <x:c r="I937" s="14"/>
      <x:c r="J937" s="14"/>
      <x:c r="K937" s="14"/>
      <x:c r="L937" s="12"/>
      <x:c r="M937" s="12"/>
      <x:c r="N937" s="15" t="n">
        <x:f>IF(OR(L937="Operating",L937="Investing",L937="Financing"),C937,0)</x:f>
        <x:v>0</x:v>
      </x:c>
      <x:c r="O937" s="12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>
      <x:c r="A938" s="1"/>
      <x:c r="B938" s="1"/>
      <x:c r="C938" s="14"/>
      <x:c r="D938" s="14"/>
      <x:c r="E938" s="14"/>
      <x:c r="F938" s="14"/>
      <x:c r="G938" s="14"/>
      <x:c r="H938" s="14"/>
      <x:c r="I938" s="14"/>
      <x:c r="J938" s="14"/>
      <x:c r="K938" s="14"/>
      <x:c r="L938" s="12"/>
      <x:c r="M938" s="12"/>
      <x:c r="N938" s="15" t="n">
        <x:f>IF(OR(L938="Operating",L938="Investing",L938="Financing"),C938,0)</x:f>
        <x:v>0</x:v>
      </x:c>
      <x:c r="O938" s="12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>
      <x:c r="A939" s="1"/>
      <x:c r="B939" s="1"/>
      <x:c r="C939" s="14"/>
      <x:c r="D939" s="14"/>
      <x:c r="E939" s="14"/>
      <x:c r="F939" s="14"/>
      <x:c r="G939" s="14"/>
      <x:c r="H939" s="14"/>
      <x:c r="I939" s="14"/>
      <x:c r="J939" s="14"/>
      <x:c r="K939" s="14"/>
      <x:c r="L939" s="12"/>
      <x:c r="M939" s="12"/>
      <x:c r="N939" s="15" t="n">
        <x:f>IF(OR(L939="Operating",L939="Investing",L939="Financing"),C939,0)</x:f>
        <x:v>0</x:v>
      </x:c>
      <x:c r="O939" s="12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>
      <x:c r="A940" s="1"/>
      <x:c r="B940" s="1"/>
      <x:c r="C940" s="14"/>
      <x:c r="D940" s="14"/>
      <x:c r="E940" s="14"/>
      <x:c r="F940" s="14"/>
      <x:c r="G940" s="14"/>
      <x:c r="H940" s="14"/>
      <x:c r="I940" s="14"/>
      <x:c r="J940" s="14"/>
      <x:c r="K940" s="14"/>
      <x:c r="L940" s="12"/>
      <x:c r="M940" s="12"/>
      <x:c r="N940" s="15" t="n">
        <x:f>IF(OR(L940="Operating",L940="Investing",L940="Financing"),C940,0)</x:f>
        <x:v>0</x:v>
      </x:c>
      <x:c r="O940" s="12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>
      <x:c r="A941" s="1"/>
      <x:c r="B941" s="1"/>
      <x:c r="C941" s="14"/>
      <x:c r="D941" s="14"/>
      <x:c r="E941" s="14"/>
      <x:c r="F941" s="14"/>
      <x:c r="G941" s="14"/>
      <x:c r="H941" s="14"/>
      <x:c r="I941" s="14"/>
      <x:c r="J941" s="14"/>
      <x:c r="K941" s="14"/>
      <x:c r="L941" s="12"/>
      <x:c r="M941" s="12"/>
      <x:c r="N941" s="15" t="n">
        <x:f>IF(OR(L941="Operating",L941="Investing",L941="Financing"),C941,0)</x:f>
        <x:v>0</x:v>
      </x:c>
      <x:c r="O941" s="12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>
      <x:c r="A942" s="1"/>
      <x:c r="B942" s="1"/>
      <x:c r="C942" s="14"/>
      <x:c r="D942" s="14"/>
      <x:c r="E942" s="14"/>
      <x:c r="F942" s="14"/>
      <x:c r="G942" s="14"/>
      <x:c r="H942" s="14"/>
      <x:c r="I942" s="14"/>
      <x:c r="J942" s="14"/>
      <x:c r="K942" s="14"/>
      <x:c r="L942" s="12"/>
      <x:c r="M942" s="12"/>
      <x:c r="N942" s="15" t="n">
        <x:f>IF(OR(L942="Operating",L942="Investing",L942="Financing"),C942,0)</x:f>
        <x:v>0</x:v>
      </x:c>
      <x:c r="O942" s="12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>
      <x:c r="A943" s="1"/>
      <x:c r="B943" s="1"/>
      <x:c r="C943" s="14"/>
      <x:c r="D943" s="14"/>
      <x:c r="E943" s="14"/>
      <x:c r="F943" s="14"/>
      <x:c r="G943" s="14"/>
      <x:c r="H943" s="14"/>
      <x:c r="I943" s="14"/>
      <x:c r="J943" s="14"/>
      <x:c r="K943" s="14"/>
      <x:c r="L943" s="12"/>
      <x:c r="M943" s="12"/>
      <x:c r="N943" s="15" t="n">
        <x:f>IF(OR(L943="Operating",L943="Investing",L943="Financing"),C943,0)</x:f>
        <x:v>0</x:v>
      </x:c>
      <x:c r="O943" s="12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>
      <x:c r="A944" s="1"/>
      <x:c r="B944" s="1"/>
      <x:c r="C944" s="14"/>
      <x:c r="D944" s="14"/>
      <x:c r="E944" s="14"/>
      <x:c r="F944" s="14"/>
      <x:c r="G944" s="14"/>
      <x:c r="H944" s="14"/>
      <x:c r="I944" s="14"/>
      <x:c r="J944" s="14"/>
      <x:c r="K944" s="14"/>
      <x:c r="L944" s="12"/>
      <x:c r="M944" s="12"/>
      <x:c r="N944" s="15" t="n">
        <x:f>IF(OR(L944="Operating",L944="Investing",L944="Financing"),C944,0)</x:f>
        <x:v>0</x:v>
      </x:c>
      <x:c r="O944" s="12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>
      <x:c r="A945" s="1"/>
      <x:c r="B945" s="1"/>
      <x:c r="C945" s="14"/>
      <x:c r="D945" s="14"/>
      <x:c r="E945" s="14"/>
      <x:c r="F945" s="14"/>
      <x:c r="G945" s="14"/>
      <x:c r="H945" s="14"/>
      <x:c r="I945" s="14"/>
      <x:c r="J945" s="14"/>
      <x:c r="K945" s="14"/>
      <x:c r="L945" s="12"/>
      <x:c r="M945" s="12"/>
      <x:c r="N945" s="15" t="n">
        <x:f>IF(OR(L945="Operating",L945="Investing",L945="Financing"),C945,0)</x:f>
        <x:v>0</x:v>
      </x:c>
      <x:c r="O945" s="12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>
      <x:c r="A946" s="1"/>
      <x:c r="B946" s="1"/>
      <x:c r="C946" s="14"/>
      <x:c r="D946" s="14"/>
      <x:c r="E946" s="14"/>
      <x:c r="F946" s="14"/>
      <x:c r="G946" s="14"/>
      <x:c r="H946" s="14"/>
      <x:c r="I946" s="14"/>
      <x:c r="J946" s="14"/>
      <x:c r="K946" s="14"/>
      <x:c r="L946" s="12"/>
      <x:c r="M946" s="12"/>
      <x:c r="N946" s="15" t="n">
        <x:f>IF(OR(L946="Operating",L946="Investing",L946="Financing"),C946,0)</x:f>
        <x:v>0</x:v>
      </x:c>
      <x:c r="O946" s="12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>
      <x:c r="A947" s="1"/>
      <x:c r="B947" s="1"/>
      <x:c r="C947" s="14"/>
      <x:c r="D947" s="14"/>
      <x:c r="E947" s="14"/>
      <x:c r="F947" s="14"/>
      <x:c r="G947" s="14"/>
      <x:c r="H947" s="14"/>
      <x:c r="I947" s="14"/>
      <x:c r="J947" s="14"/>
      <x:c r="K947" s="14"/>
      <x:c r="L947" s="12"/>
      <x:c r="M947" s="12"/>
      <x:c r="N947" s="15" t="n">
        <x:f>IF(OR(L947="Operating",L947="Investing",L947="Financing"),C947,0)</x:f>
        <x:v>0</x:v>
      </x:c>
      <x:c r="O947" s="12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>
      <x:c r="A948" s="1"/>
      <x:c r="B948" s="1"/>
      <x:c r="C948" s="14"/>
      <x:c r="D948" s="14"/>
      <x:c r="E948" s="14"/>
      <x:c r="F948" s="14"/>
      <x:c r="G948" s="14"/>
      <x:c r="H948" s="14"/>
      <x:c r="I948" s="14"/>
      <x:c r="J948" s="14"/>
      <x:c r="K948" s="14"/>
      <x:c r="L948" s="12"/>
      <x:c r="M948" s="12"/>
      <x:c r="N948" s="15" t="n">
        <x:f>IF(OR(L948="Operating",L948="Investing",L948="Financing"),C948,0)</x:f>
        <x:v>0</x:v>
      </x:c>
      <x:c r="O948" s="12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>
      <x:c r="A949" s="1"/>
      <x:c r="B949" s="1"/>
      <x:c r="C949" s="14"/>
      <x:c r="D949" s="14"/>
      <x:c r="E949" s="14"/>
      <x:c r="F949" s="14"/>
      <x:c r="G949" s="14"/>
      <x:c r="H949" s="14"/>
      <x:c r="I949" s="14"/>
      <x:c r="J949" s="14"/>
      <x:c r="K949" s="14"/>
      <x:c r="L949" s="12"/>
      <x:c r="M949" s="12"/>
      <x:c r="N949" s="15" t="n">
        <x:f>IF(OR(L949="Operating",L949="Investing",L949="Financing"),C949,0)</x:f>
        <x:v>0</x:v>
      </x:c>
      <x:c r="O949" s="12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>
      <x:c r="A950" s="1"/>
      <x:c r="B950" s="1"/>
      <x:c r="C950" s="14"/>
      <x:c r="D950" s="14"/>
      <x:c r="E950" s="14"/>
      <x:c r="F950" s="14"/>
      <x:c r="G950" s="14"/>
      <x:c r="H950" s="14"/>
      <x:c r="I950" s="14"/>
      <x:c r="J950" s="14"/>
      <x:c r="K950" s="14"/>
      <x:c r="L950" s="12"/>
      <x:c r="M950" s="12"/>
      <x:c r="N950" s="15" t="n">
        <x:f>IF(OR(L950="Operating",L950="Investing",L950="Financing"),C950,0)</x:f>
        <x:v>0</x:v>
      </x:c>
      <x:c r="O950" s="12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>
      <x:c r="A951" s="1"/>
      <x:c r="B951" s="1"/>
      <x:c r="C951" s="14"/>
      <x:c r="D951" s="14"/>
      <x:c r="E951" s="14"/>
      <x:c r="F951" s="14"/>
      <x:c r="G951" s="14"/>
      <x:c r="H951" s="14"/>
      <x:c r="I951" s="14"/>
      <x:c r="J951" s="14"/>
      <x:c r="K951" s="14"/>
      <x:c r="L951" s="12"/>
      <x:c r="M951" s="12"/>
      <x:c r="N951" s="15" t="n">
        <x:f>IF(OR(L951="Operating",L951="Investing",L951="Financing"),C951,0)</x:f>
        <x:v>0</x:v>
      </x:c>
      <x:c r="O951" s="12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>
      <x:c r="A952" s="1"/>
      <x:c r="B952" s="1"/>
      <x:c r="C952" s="14"/>
      <x:c r="D952" s="14"/>
      <x:c r="E952" s="14"/>
      <x:c r="F952" s="14"/>
      <x:c r="G952" s="14"/>
      <x:c r="H952" s="14"/>
      <x:c r="I952" s="14"/>
      <x:c r="J952" s="14"/>
      <x:c r="K952" s="14"/>
      <x:c r="L952" s="12"/>
      <x:c r="M952" s="12"/>
      <x:c r="N952" s="15" t="n">
        <x:f>IF(OR(L952="Operating",L952="Investing",L952="Financing"),C952,0)</x:f>
        <x:v>0</x:v>
      </x:c>
      <x:c r="O952" s="12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>
      <x:c r="A953" s="1"/>
      <x:c r="B953" s="1"/>
      <x:c r="C953" s="14"/>
      <x:c r="D953" s="14"/>
      <x:c r="E953" s="14"/>
      <x:c r="F953" s="14"/>
      <x:c r="G953" s="14"/>
      <x:c r="H953" s="14"/>
      <x:c r="I953" s="14"/>
      <x:c r="J953" s="14"/>
      <x:c r="K953" s="14"/>
      <x:c r="L953" s="12"/>
      <x:c r="M953" s="12"/>
      <x:c r="N953" s="15" t="n">
        <x:f>IF(OR(L953="Operating",L953="Investing",L953="Financing"),C953,0)</x:f>
        <x:v>0</x:v>
      </x:c>
      <x:c r="O953" s="12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>
      <x:c r="A954" s="1"/>
      <x:c r="B954" s="1"/>
      <x:c r="C954" s="14"/>
      <x:c r="D954" s="14"/>
      <x:c r="E954" s="14"/>
      <x:c r="F954" s="14"/>
      <x:c r="G954" s="14"/>
      <x:c r="H954" s="14"/>
      <x:c r="I954" s="14"/>
      <x:c r="J954" s="14"/>
      <x:c r="K954" s="14"/>
      <x:c r="L954" s="12"/>
      <x:c r="M954" s="12"/>
      <x:c r="N954" s="15" t="n">
        <x:f>IF(OR(L954="Operating",L954="Investing",L954="Financing"),C954,0)</x:f>
        <x:v>0</x:v>
      </x:c>
      <x:c r="O954" s="12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>
      <x:c r="A955" s="1"/>
      <x:c r="B955" s="1"/>
      <x:c r="C955" s="14"/>
      <x:c r="D955" s="14"/>
      <x:c r="E955" s="14"/>
      <x:c r="F955" s="14"/>
      <x:c r="G955" s="14"/>
      <x:c r="H955" s="14"/>
      <x:c r="I955" s="14"/>
      <x:c r="J955" s="14"/>
      <x:c r="K955" s="14"/>
      <x:c r="L955" s="12"/>
      <x:c r="M955" s="12"/>
      <x:c r="N955" s="15" t="n">
        <x:f>IF(OR(L955="Operating",L955="Investing",L955="Financing"),C955,0)</x:f>
        <x:v>0</x:v>
      </x:c>
      <x:c r="O955" s="12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>
      <x:c r="A956" s="1"/>
      <x:c r="B956" s="1"/>
      <x:c r="C956" s="14"/>
      <x:c r="D956" s="14"/>
      <x:c r="E956" s="14"/>
      <x:c r="F956" s="14"/>
      <x:c r="G956" s="14"/>
      <x:c r="H956" s="14"/>
      <x:c r="I956" s="14"/>
      <x:c r="J956" s="14"/>
      <x:c r="K956" s="14"/>
      <x:c r="L956" s="12"/>
      <x:c r="M956" s="12"/>
      <x:c r="N956" s="15" t="n">
        <x:f>IF(OR(L956="Operating",L956="Investing",L956="Financing"),C956,0)</x:f>
        <x:v>0</x:v>
      </x:c>
      <x:c r="O956" s="12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>
      <x:c r="A957" s="1"/>
      <x:c r="B957" s="1"/>
      <x:c r="C957" s="14"/>
      <x:c r="D957" s="14"/>
      <x:c r="E957" s="14"/>
      <x:c r="F957" s="14"/>
      <x:c r="G957" s="14"/>
      <x:c r="H957" s="14"/>
      <x:c r="I957" s="14"/>
      <x:c r="J957" s="14"/>
      <x:c r="K957" s="14"/>
      <x:c r="L957" s="12"/>
      <x:c r="M957" s="12"/>
      <x:c r="N957" s="15" t="n">
        <x:f>IF(OR(L957="Operating",L957="Investing",L957="Financing"),C957,0)</x:f>
        <x:v>0</x:v>
      </x:c>
      <x:c r="O957" s="12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>
      <x:c r="A958" s="1"/>
      <x:c r="B958" s="1"/>
      <x:c r="C958" s="14"/>
      <x:c r="D958" s="14"/>
      <x:c r="E958" s="14"/>
      <x:c r="F958" s="14"/>
      <x:c r="G958" s="14"/>
      <x:c r="H958" s="14"/>
      <x:c r="I958" s="14"/>
      <x:c r="J958" s="14"/>
      <x:c r="K958" s="14"/>
      <x:c r="L958" s="12"/>
      <x:c r="M958" s="12"/>
      <x:c r="N958" s="15" t="n">
        <x:f>IF(OR(L958="Operating",L958="Investing",L958="Financing"),C958,0)</x:f>
        <x:v>0</x:v>
      </x:c>
      <x:c r="O958" s="12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>
      <x:c r="A959" s="1"/>
      <x:c r="B959" s="1"/>
      <x:c r="C959" s="14"/>
      <x:c r="D959" s="14"/>
      <x:c r="E959" s="14"/>
      <x:c r="F959" s="14"/>
      <x:c r="G959" s="14"/>
      <x:c r="H959" s="14"/>
      <x:c r="I959" s="14"/>
      <x:c r="J959" s="14"/>
      <x:c r="K959" s="14"/>
      <x:c r="L959" s="12"/>
      <x:c r="M959" s="12"/>
      <x:c r="N959" s="15" t="n">
        <x:f>IF(OR(L959="Operating",L959="Investing",L959="Financing"),C959,0)</x:f>
        <x:v>0</x:v>
      </x:c>
      <x:c r="O959" s="12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>
      <x:c r="A960" s="1"/>
      <x:c r="B960" s="1"/>
      <x:c r="C960" s="14"/>
      <x:c r="D960" s="14"/>
      <x:c r="E960" s="14"/>
      <x:c r="F960" s="14"/>
      <x:c r="G960" s="14"/>
      <x:c r="H960" s="14"/>
      <x:c r="I960" s="14"/>
      <x:c r="J960" s="14"/>
      <x:c r="K960" s="14"/>
      <x:c r="L960" s="12"/>
      <x:c r="M960" s="12"/>
      <x:c r="N960" s="15" t="n">
        <x:f>IF(OR(L960="Operating",L960="Investing",L960="Financing"),C960,0)</x:f>
        <x:v>0</x:v>
      </x:c>
      <x:c r="O960" s="12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>
      <x:c r="A961" s="1"/>
      <x:c r="B961" s="1"/>
      <x:c r="C961" s="14"/>
      <x:c r="D961" s="14"/>
      <x:c r="E961" s="14"/>
      <x:c r="F961" s="14"/>
      <x:c r="G961" s="14"/>
      <x:c r="H961" s="14"/>
      <x:c r="I961" s="14"/>
      <x:c r="J961" s="14"/>
      <x:c r="K961" s="14"/>
      <x:c r="L961" s="12"/>
      <x:c r="M961" s="12"/>
      <x:c r="N961" s="15" t="n">
        <x:f>IF(OR(L961="Operating",L961="Investing",L961="Financing"),C961,0)</x:f>
        <x:v>0</x:v>
      </x:c>
      <x:c r="O961" s="12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>
      <x:c r="A962" s="1"/>
      <x:c r="B962" s="1"/>
      <x:c r="C962" s="14"/>
      <x:c r="D962" s="14"/>
      <x:c r="E962" s="14"/>
      <x:c r="F962" s="14"/>
      <x:c r="G962" s="14"/>
      <x:c r="H962" s="14"/>
      <x:c r="I962" s="14"/>
      <x:c r="J962" s="14"/>
      <x:c r="K962" s="14"/>
      <x:c r="L962" s="12"/>
      <x:c r="M962" s="12"/>
      <x:c r="N962" s="15" t="n">
        <x:f>IF(OR(L962="Operating",L962="Investing",L962="Financing"),C962,0)</x:f>
        <x:v>0</x:v>
      </x:c>
      <x:c r="O962" s="12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>
      <x:c r="A963" s="1"/>
      <x:c r="B963" s="1"/>
      <x:c r="C963" s="14"/>
      <x:c r="D963" s="14"/>
      <x:c r="E963" s="14"/>
      <x:c r="F963" s="14"/>
      <x:c r="G963" s="14"/>
      <x:c r="H963" s="14"/>
      <x:c r="I963" s="14"/>
      <x:c r="J963" s="14"/>
      <x:c r="K963" s="14"/>
      <x:c r="L963" s="12"/>
      <x:c r="M963" s="12"/>
      <x:c r="N963" s="15" t="n">
        <x:f>IF(OR(L963="Operating",L963="Investing",L963="Financing"),C963,0)</x:f>
        <x:v>0</x:v>
      </x:c>
      <x:c r="O963" s="12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>
      <x:c r="A964" s="1"/>
      <x:c r="B964" s="1"/>
      <x:c r="C964" s="14"/>
      <x:c r="D964" s="14"/>
      <x:c r="E964" s="14"/>
      <x:c r="F964" s="14"/>
      <x:c r="G964" s="14"/>
      <x:c r="H964" s="14"/>
      <x:c r="I964" s="14"/>
      <x:c r="J964" s="14"/>
      <x:c r="K964" s="14"/>
      <x:c r="L964" s="12"/>
      <x:c r="M964" s="12"/>
      <x:c r="N964" s="15" t="n">
        <x:f>IF(OR(L964="Operating",L964="Investing",L964="Financing"),C964,0)</x:f>
        <x:v>0</x:v>
      </x:c>
      <x:c r="O964" s="12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>
      <x:c r="A965" s="1"/>
      <x:c r="B965" s="1"/>
      <x:c r="C965" s="14"/>
      <x:c r="D965" s="14"/>
      <x:c r="E965" s="14"/>
      <x:c r="F965" s="14"/>
      <x:c r="G965" s="14"/>
      <x:c r="H965" s="14"/>
      <x:c r="I965" s="14"/>
      <x:c r="J965" s="14"/>
      <x:c r="K965" s="14"/>
      <x:c r="L965" s="12"/>
      <x:c r="M965" s="12"/>
      <x:c r="N965" s="15" t="n">
        <x:f>IF(OR(L965="Operating",L965="Investing",L965="Financing"),C965,0)</x:f>
        <x:v>0</x:v>
      </x:c>
      <x:c r="O965" s="12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>
      <x:c r="A966" s="1"/>
      <x:c r="B966" s="1"/>
      <x:c r="C966" s="14"/>
      <x:c r="D966" s="14"/>
      <x:c r="E966" s="14"/>
      <x:c r="F966" s="14"/>
      <x:c r="G966" s="14"/>
      <x:c r="H966" s="14"/>
      <x:c r="I966" s="14"/>
      <x:c r="J966" s="14"/>
      <x:c r="K966" s="14"/>
      <x:c r="L966" s="12"/>
      <x:c r="M966" s="12"/>
      <x:c r="N966" s="15" t="n">
        <x:f>IF(OR(L966="Operating",L966="Investing",L966="Financing"),C966,0)</x:f>
        <x:v>0</x:v>
      </x:c>
      <x:c r="O966" s="12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>
      <x:c r="A967" s="1"/>
      <x:c r="B967" s="1"/>
      <x:c r="C967" s="14"/>
      <x:c r="D967" s="14"/>
      <x:c r="E967" s="14"/>
      <x:c r="F967" s="14"/>
      <x:c r="G967" s="14"/>
      <x:c r="H967" s="14"/>
      <x:c r="I967" s="14"/>
      <x:c r="J967" s="14"/>
      <x:c r="K967" s="14"/>
      <x:c r="L967" s="12"/>
      <x:c r="M967" s="12"/>
      <x:c r="N967" s="15" t="n">
        <x:f>IF(OR(L967="Operating",L967="Investing",L967="Financing"),C967,0)</x:f>
        <x:v>0</x:v>
      </x:c>
      <x:c r="O967" s="12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>
      <x:c r="A968" s="1"/>
      <x:c r="B968" s="1"/>
      <x:c r="C968" s="14"/>
      <x:c r="D968" s="14"/>
      <x:c r="E968" s="14"/>
      <x:c r="F968" s="14"/>
      <x:c r="G968" s="14"/>
      <x:c r="H968" s="14"/>
      <x:c r="I968" s="14"/>
      <x:c r="J968" s="14"/>
      <x:c r="K968" s="14"/>
      <x:c r="L968" s="12"/>
      <x:c r="M968" s="12"/>
      <x:c r="N968" s="15" t="n">
        <x:f>IF(OR(L968="Operating",L968="Investing",L968="Financing"),C968,0)</x:f>
        <x:v>0</x:v>
      </x:c>
      <x:c r="O968" s="12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>
      <x:c r="A969" s="1"/>
      <x:c r="B969" s="1"/>
      <x:c r="C969" s="14"/>
      <x:c r="D969" s="14"/>
      <x:c r="E969" s="14"/>
      <x:c r="F969" s="14"/>
      <x:c r="G969" s="14"/>
      <x:c r="H969" s="14"/>
      <x:c r="I969" s="14"/>
      <x:c r="J969" s="14"/>
      <x:c r="K969" s="14"/>
      <x:c r="L969" s="12"/>
      <x:c r="M969" s="12"/>
      <x:c r="N969" s="15" t="n">
        <x:f>IF(OR(L969="Operating",L969="Investing",L969="Financing"),C969,0)</x:f>
        <x:v>0</x:v>
      </x:c>
      <x:c r="O969" s="12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>
      <x:c r="A970" s="1"/>
      <x:c r="B970" s="1"/>
      <x:c r="C970" s="14"/>
      <x:c r="D970" s="14"/>
      <x:c r="E970" s="14"/>
      <x:c r="F970" s="14"/>
      <x:c r="G970" s="14"/>
      <x:c r="H970" s="14"/>
      <x:c r="I970" s="14"/>
      <x:c r="J970" s="14"/>
      <x:c r="K970" s="14"/>
      <x:c r="L970" s="12"/>
      <x:c r="M970" s="12"/>
      <x:c r="N970" s="15" t="n">
        <x:f>IF(OR(L970="Operating",L970="Investing",L970="Financing"),C970,0)</x:f>
        <x:v>0</x:v>
      </x:c>
      <x:c r="O970" s="12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>
      <x:c r="A971" s="1"/>
      <x:c r="B971" s="1"/>
      <x:c r="C971" s="14"/>
      <x:c r="D971" s="14"/>
      <x:c r="E971" s="14"/>
      <x:c r="F971" s="14"/>
      <x:c r="G971" s="14"/>
      <x:c r="H971" s="14"/>
      <x:c r="I971" s="14"/>
      <x:c r="J971" s="14"/>
      <x:c r="K971" s="14"/>
      <x:c r="L971" s="12"/>
      <x:c r="M971" s="12"/>
      <x:c r="N971" s="15" t="n">
        <x:f>IF(OR(L971="Operating",L971="Investing",L971="Financing"),C971,0)</x:f>
        <x:v>0</x:v>
      </x:c>
      <x:c r="O971" s="12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>
      <x:c r="A972" s="1"/>
      <x:c r="B972" s="1"/>
      <x:c r="C972" s="14"/>
      <x:c r="D972" s="14"/>
      <x:c r="E972" s="14"/>
      <x:c r="F972" s="14"/>
      <x:c r="G972" s="14"/>
      <x:c r="H972" s="14"/>
      <x:c r="I972" s="14"/>
      <x:c r="J972" s="14"/>
      <x:c r="K972" s="14"/>
      <x:c r="L972" s="12"/>
      <x:c r="M972" s="12"/>
      <x:c r="N972" s="15" t="n">
        <x:f>IF(OR(L972="Operating",L972="Investing",L972="Financing"),C972,0)</x:f>
        <x:v>0</x:v>
      </x:c>
      <x:c r="O972" s="12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>
      <x:c r="A973" s="1"/>
      <x:c r="B973" s="1"/>
      <x:c r="C973" s="14"/>
      <x:c r="D973" s="14"/>
      <x:c r="E973" s="14"/>
      <x:c r="F973" s="14"/>
      <x:c r="G973" s="14"/>
      <x:c r="H973" s="14"/>
      <x:c r="I973" s="14"/>
      <x:c r="J973" s="14"/>
      <x:c r="K973" s="14"/>
      <x:c r="L973" s="12"/>
      <x:c r="M973" s="12"/>
      <x:c r="N973" s="15" t="n">
        <x:f>IF(OR(L973="Operating",L973="Investing",L973="Financing"),C973,0)</x:f>
        <x:v>0</x:v>
      </x:c>
      <x:c r="O973" s="12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>
      <x:c r="A974" s="1"/>
      <x:c r="B974" s="1"/>
      <x:c r="C974" s="14"/>
      <x:c r="D974" s="14"/>
      <x:c r="E974" s="14"/>
      <x:c r="F974" s="14"/>
      <x:c r="G974" s="14"/>
      <x:c r="H974" s="14"/>
      <x:c r="I974" s="14"/>
      <x:c r="J974" s="14"/>
      <x:c r="K974" s="14"/>
      <x:c r="L974" s="12"/>
      <x:c r="M974" s="12"/>
      <x:c r="N974" s="15" t="n">
        <x:f>IF(OR(L974="Operating",L974="Investing",L974="Financing"),C974,0)</x:f>
        <x:v>0</x:v>
      </x:c>
      <x:c r="O974" s="12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>
      <x:c r="A975" s="1"/>
      <x:c r="B975" s="1"/>
      <x:c r="C975" s="14"/>
      <x:c r="D975" s="14"/>
      <x:c r="E975" s="14"/>
      <x:c r="F975" s="14"/>
      <x:c r="G975" s="14"/>
      <x:c r="H975" s="14"/>
      <x:c r="I975" s="14"/>
      <x:c r="J975" s="14"/>
      <x:c r="K975" s="14"/>
      <x:c r="L975" s="12"/>
      <x:c r="M975" s="12"/>
      <x:c r="N975" s="15" t="n">
        <x:f>IF(OR(L975="Operating",L975="Investing",L975="Financing"),C975,0)</x:f>
        <x:v>0</x:v>
      </x:c>
      <x:c r="O975" s="12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>
      <x:c r="A976" s="1"/>
      <x:c r="B976" s="1"/>
      <x:c r="C976" s="14"/>
      <x:c r="D976" s="14"/>
      <x:c r="E976" s="14"/>
      <x:c r="F976" s="14"/>
      <x:c r="G976" s="14"/>
      <x:c r="H976" s="14"/>
      <x:c r="I976" s="14"/>
      <x:c r="J976" s="14"/>
      <x:c r="K976" s="14"/>
      <x:c r="L976" s="12"/>
      <x:c r="M976" s="12"/>
      <x:c r="N976" s="15" t="n">
        <x:f>IF(OR(L976="Operating",L976="Investing",L976="Financing"),C976,0)</x:f>
        <x:v>0</x:v>
      </x:c>
      <x:c r="O976" s="12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>
      <x:c r="A977" s="1"/>
      <x:c r="B977" s="1"/>
      <x:c r="C977" s="14"/>
      <x:c r="D977" s="14"/>
      <x:c r="E977" s="14"/>
      <x:c r="F977" s="14"/>
      <x:c r="G977" s="14"/>
      <x:c r="H977" s="14"/>
      <x:c r="I977" s="14"/>
      <x:c r="J977" s="14"/>
      <x:c r="K977" s="14"/>
      <x:c r="L977" s="12"/>
      <x:c r="M977" s="12"/>
      <x:c r="N977" s="15" t="n">
        <x:f>IF(OR(L977="Operating",L977="Investing",L977="Financing"),C977,0)</x:f>
        <x:v>0</x:v>
      </x:c>
      <x:c r="O977" s="12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>
      <x:c r="A978" s="1"/>
      <x:c r="B978" s="1"/>
      <x:c r="C978" s="14"/>
      <x:c r="D978" s="14"/>
      <x:c r="E978" s="14"/>
      <x:c r="F978" s="14"/>
      <x:c r="G978" s="14"/>
      <x:c r="H978" s="14"/>
      <x:c r="I978" s="14"/>
      <x:c r="J978" s="14"/>
      <x:c r="K978" s="14"/>
      <x:c r="L978" s="12"/>
      <x:c r="M978" s="12"/>
      <x:c r="N978" s="15" t="n">
        <x:f>IF(OR(L978="Operating",L978="Investing",L978="Financing"),C978,0)</x:f>
        <x:v>0</x:v>
      </x:c>
      <x:c r="O978" s="12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>
      <x:c r="A979" s="1"/>
      <x:c r="B979" s="1"/>
      <x:c r="C979" s="14"/>
      <x:c r="D979" s="14"/>
      <x:c r="E979" s="14"/>
      <x:c r="F979" s="14"/>
      <x:c r="G979" s="14"/>
      <x:c r="H979" s="14"/>
      <x:c r="I979" s="14"/>
      <x:c r="J979" s="14"/>
      <x:c r="K979" s="14"/>
      <x:c r="L979" s="12"/>
      <x:c r="M979" s="12"/>
      <x:c r="N979" s="15" t="n">
        <x:f>IF(OR(L979="Operating",L979="Investing",L979="Financing"),C979,0)</x:f>
        <x:v>0</x:v>
      </x:c>
      <x:c r="O979" s="12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>
      <x:c r="A980" s="1"/>
      <x:c r="B980" s="1"/>
      <x:c r="C980" s="14"/>
      <x:c r="D980" s="14"/>
      <x:c r="E980" s="14"/>
      <x:c r="F980" s="14"/>
      <x:c r="G980" s="14"/>
      <x:c r="H980" s="14"/>
      <x:c r="I980" s="14"/>
      <x:c r="J980" s="14"/>
      <x:c r="K980" s="14"/>
      <x:c r="L980" s="12"/>
      <x:c r="M980" s="12"/>
      <x:c r="N980" s="15" t="n">
        <x:f>IF(OR(L980="Operating",L980="Investing",L980="Financing"),C980,0)</x:f>
        <x:v>0</x:v>
      </x:c>
      <x:c r="O980" s="12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>
      <x:c r="A981" s="1"/>
      <x:c r="B981" s="1"/>
      <x:c r="C981" s="14"/>
      <x:c r="D981" s="14"/>
      <x:c r="E981" s="14"/>
      <x:c r="F981" s="14"/>
      <x:c r="G981" s="14"/>
      <x:c r="H981" s="14"/>
      <x:c r="I981" s="14"/>
      <x:c r="J981" s="14"/>
      <x:c r="K981" s="14"/>
      <x:c r="L981" s="12"/>
      <x:c r="M981" s="12"/>
      <x:c r="N981" s="15" t="n">
        <x:f>IF(OR(L981="Operating",L981="Investing",L981="Financing"),C981,0)</x:f>
        <x:v>0</x:v>
      </x:c>
      <x:c r="O981" s="12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>
      <x:c r="A982" s="1"/>
      <x:c r="B982" s="1"/>
      <x:c r="C982" s="14"/>
      <x:c r="D982" s="14"/>
      <x:c r="E982" s="14"/>
      <x:c r="F982" s="14"/>
      <x:c r="G982" s="14"/>
      <x:c r="H982" s="14"/>
      <x:c r="I982" s="14"/>
      <x:c r="J982" s="14"/>
      <x:c r="K982" s="14"/>
      <x:c r="L982" s="12"/>
      <x:c r="M982" s="12"/>
      <x:c r="N982" s="15" t="n">
        <x:f>IF(OR(L982="Operating",L982="Investing",L982="Financing"),C982,0)</x:f>
        <x:v>0</x:v>
      </x:c>
      <x:c r="O982" s="12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>
      <x:c r="A983" s="1"/>
      <x:c r="B983" s="1"/>
      <x:c r="C983" s="14"/>
      <x:c r="D983" s="14"/>
      <x:c r="E983" s="14"/>
      <x:c r="F983" s="14"/>
      <x:c r="G983" s="14"/>
      <x:c r="H983" s="14"/>
      <x:c r="I983" s="14"/>
      <x:c r="J983" s="14"/>
      <x:c r="K983" s="14"/>
      <x:c r="L983" s="12"/>
      <x:c r="M983" s="12"/>
      <x:c r="N983" s="15" t="n">
        <x:f>IF(OR(L983="Operating",L983="Investing",L983="Financing"),C983,0)</x:f>
        <x:v>0</x:v>
      </x:c>
      <x:c r="O983" s="12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>
      <x:c r="A984" s="1"/>
      <x:c r="B984" s="1"/>
      <x:c r="C984" s="14"/>
      <x:c r="D984" s="14"/>
      <x:c r="E984" s="14"/>
      <x:c r="F984" s="14"/>
      <x:c r="G984" s="14"/>
      <x:c r="H984" s="14"/>
      <x:c r="I984" s="14"/>
      <x:c r="J984" s="14"/>
      <x:c r="K984" s="14"/>
      <x:c r="L984" s="12"/>
      <x:c r="M984" s="12"/>
      <x:c r="N984" s="15" t="n">
        <x:f>IF(OR(L984="Operating",L984="Investing",L984="Financing"),C984,0)</x:f>
        <x:v>0</x:v>
      </x:c>
      <x:c r="O984" s="12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>
      <x:c r="A985" s="1"/>
      <x:c r="B985" s="1"/>
      <x:c r="C985" s="14"/>
      <x:c r="D985" s="14"/>
      <x:c r="E985" s="14"/>
      <x:c r="F985" s="14"/>
      <x:c r="G985" s="14"/>
      <x:c r="H985" s="14"/>
      <x:c r="I985" s="14"/>
      <x:c r="J985" s="14"/>
      <x:c r="K985" s="14"/>
      <x:c r="L985" s="12"/>
      <x:c r="M985" s="12"/>
      <x:c r="N985" s="15" t="n">
        <x:f>IF(OR(L985="Operating",L985="Investing",L985="Financing"),C985,0)</x:f>
        <x:v>0</x:v>
      </x:c>
      <x:c r="O985" s="12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>
      <x:c r="A986" s="1"/>
      <x:c r="B986" s="1"/>
      <x:c r="C986" s="14"/>
      <x:c r="D986" s="14"/>
      <x:c r="E986" s="14"/>
      <x:c r="F986" s="14"/>
      <x:c r="G986" s="14"/>
      <x:c r="H986" s="14"/>
      <x:c r="I986" s="14"/>
      <x:c r="J986" s="14"/>
      <x:c r="K986" s="14"/>
      <x:c r="L986" s="12"/>
      <x:c r="M986" s="12"/>
      <x:c r="N986" s="15" t="n">
        <x:f>IF(OR(L986="Operating",L986="Investing",L986="Financing"),C986,0)</x:f>
        <x:v>0</x:v>
      </x:c>
      <x:c r="O986" s="12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>
      <x:c r="A987" s="1"/>
      <x:c r="B987" s="1"/>
      <x:c r="C987" s="14"/>
      <x:c r="D987" s="14"/>
      <x:c r="E987" s="14"/>
      <x:c r="F987" s="14"/>
      <x:c r="G987" s="14"/>
      <x:c r="H987" s="14"/>
      <x:c r="I987" s="14"/>
      <x:c r="J987" s="14"/>
      <x:c r="K987" s="14"/>
      <x:c r="L987" s="12"/>
      <x:c r="M987" s="12"/>
      <x:c r="N987" s="15" t="n">
        <x:f>IF(OR(L987="Operating",L987="Investing",L987="Financing"),C987,0)</x:f>
        <x:v>0</x:v>
      </x:c>
      <x:c r="O987" s="12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>
      <x:c r="A988" s="1"/>
      <x:c r="B988" s="1"/>
      <x:c r="C988" s="14"/>
      <x:c r="D988" s="14"/>
      <x:c r="E988" s="14"/>
      <x:c r="F988" s="14"/>
      <x:c r="G988" s="14"/>
      <x:c r="H988" s="14"/>
      <x:c r="I988" s="14"/>
      <x:c r="J988" s="14"/>
      <x:c r="K988" s="14"/>
      <x:c r="L988" s="12"/>
      <x:c r="M988" s="12"/>
      <x:c r="N988" s="15" t="n">
        <x:f>IF(OR(L988="Operating",L988="Investing",L988="Financing"),C988,0)</x:f>
        <x:v>0</x:v>
      </x:c>
      <x:c r="O988" s="12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>
      <x:c r="A989" s="1"/>
      <x:c r="B989" s="1"/>
      <x:c r="C989" s="14"/>
      <x:c r="D989" s="14"/>
      <x:c r="E989" s="14"/>
      <x:c r="F989" s="14"/>
      <x:c r="G989" s="14"/>
      <x:c r="H989" s="14"/>
      <x:c r="I989" s="14"/>
      <x:c r="J989" s="14"/>
      <x:c r="K989" s="14"/>
      <x:c r="L989" s="12"/>
      <x:c r="M989" s="12"/>
      <x:c r="N989" s="15" t="n">
        <x:f>IF(OR(L989="Operating",L989="Investing",L989="Financing"),C989,0)</x:f>
        <x:v>0</x:v>
      </x:c>
      <x:c r="O989" s="12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>
      <x:c r="A990" s="1"/>
      <x:c r="B990" s="1"/>
      <x:c r="C990" s="14"/>
      <x:c r="D990" s="14"/>
      <x:c r="E990" s="14"/>
      <x:c r="F990" s="14"/>
      <x:c r="G990" s="14"/>
      <x:c r="H990" s="14"/>
      <x:c r="I990" s="14"/>
      <x:c r="J990" s="14"/>
      <x:c r="K990" s="14"/>
      <x:c r="L990" s="12"/>
      <x:c r="M990" s="12"/>
      <x:c r="N990" s="15" t="n">
        <x:f>IF(OR(L990="Operating",L990="Investing",L990="Financing"),C990,0)</x:f>
        <x:v>0</x:v>
      </x:c>
      <x:c r="O990" s="12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>
      <x:c r="A991" s="1"/>
      <x:c r="B991" s="1"/>
      <x:c r="C991" s="14"/>
      <x:c r="D991" s="14"/>
      <x:c r="E991" s="14"/>
      <x:c r="F991" s="14"/>
      <x:c r="G991" s="14"/>
      <x:c r="H991" s="14"/>
      <x:c r="I991" s="14"/>
      <x:c r="J991" s="14"/>
      <x:c r="K991" s="14"/>
      <x:c r="L991" s="12"/>
      <x:c r="M991" s="12"/>
      <x:c r="N991" s="15" t="n">
        <x:f>IF(OR(L991="Operating",L991="Investing",L991="Financing"),C991,0)</x:f>
        <x:v>0</x:v>
      </x:c>
      <x:c r="O991" s="12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>
      <x:c r="A992" s="1"/>
      <x:c r="B992" s="1"/>
      <x:c r="C992" s="14"/>
      <x:c r="D992" s="14"/>
      <x:c r="E992" s="14"/>
      <x:c r="F992" s="14"/>
      <x:c r="G992" s="14"/>
      <x:c r="H992" s="14"/>
      <x:c r="I992" s="14"/>
      <x:c r="J992" s="14"/>
      <x:c r="K992" s="14"/>
      <x:c r="L992" s="12"/>
      <x:c r="M992" s="12"/>
      <x:c r="N992" s="15" t="n">
        <x:f>IF(OR(L992="Operating",L992="Investing",L992="Financing"),C992,0)</x:f>
        <x:v>0</x:v>
      </x:c>
      <x:c r="O992" s="12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>
      <x:c r="A993" s="1"/>
      <x:c r="B993" s="1"/>
      <x:c r="C993" s="14"/>
      <x:c r="D993" s="14"/>
      <x:c r="E993" s="14"/>
      <x:c r="F993" s="14"/>
      <x:c r="G993" s="14"/>
      <x:c r="H993" s="14"/>
      <x:c r="I993" s="14"/>
      <x:c r="J993" s="14"/>
      <x:c r="K993" s="14"/>
      <x:c r="L993" s="12"/>
      <x:c r="M993" s="12"/>
      <x:c r="N993" s="15" t="n">
        <x:f>IF(OR(L993="Operating",L993="Investing",L993="Financing"),C993,0)</x:f>
        <x:v>0</x:v>
      </x:c>
      <x:c r="O993" s="12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>
      <x:c r="A994" s="1"/>
      <x:c r="B994" s="1"/>
      <x:c r="C994" s="14"/>
      <x:c r="D994" s="14"/>
      <x:c r="E994" s="14"/>
      <x:c r="F994" s="14"/>
      <x:c r="G994" s="14"/>
      <x:c r="H994" s="14"/>
      <x:c r="I994" s="14"/>
      <x:c r="J994" s="14"/>
      <x:c r="K994" s="14"/>
      <x:c r="L994" s="12"/>
      <x:c r="M994" s="12"/>
      <x:c r="N994" s="15" t="n">
        <x:f>IF(OR(L994="Operating",L994="Investing",L994="Financing"),C994,0)</x:f>
        <x:v>0</x:v>
      </x:c>
      <x:c r="O994" s="12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>
      <x:c r="A995" s="1"/>
      <x:c r="B995" s="1"/>
      <x:c r="C995" s="14"/>
      <x:c r="D995" s="14"/>
      <x:c r="E995" s="14"/>
      <x:c r="F995" s="14"/>
      <x:c r="G995" s="14"/>
      <x:c r="H995" s="14"/>
      <x:c r="I995" s="14"/>
      <x:c r="J995" s="14"/>
      <x:c r="K995" s="14"/>
      <x:c r="L995" s="12"/>
      <x:c r="M995" s="12"/>
      <x:c r="N995" s="15" t="n">
        <x:f>IF(OR(L995="Operating",L995="Investing",L995="Financing"),C995,0)</x:f>
        <x:v>0</x:v>
      </x:c>
      <x:c r="O995" s="12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>
      <x:c r="A996" s="1"/>
      <x:c r="B996" s="1"/>
      <x:c r="C996" s="14"/>
      <x:c r="D996" s="14"/>
      <x:c r="E996" s="14"/>
      <x:c r="F996" s="14"/>
      <x:c r="G996" s="14"/>
      <x:c r="H996" s="14"/>
      <x:c r="I996" s="14"/>
      <x:c r="J996" s="14"/>
      <x:c r="K996" s="14"/>
      <x:c r="L996" s="12"/>
      <x:c r="M996" s="12"/>
      <x:c r="N996" s="15" t="n">
        <x:f>IF(OR(L996="Operating",L996="Investing",L996="Financing"),C996,0)</x:f>
        <x:v>0</x:v>
      </x:c>
      <x:c r="O996" s="12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>
      <x:c r="A997" s="1"/>
      <x:c r="B997" s="1"/>
      <x:c r="C997" s="14"/>
      <x:c r="D997" s="14"/>
      <x:c r="E997" s="14"/>
      <x:c r="F997" s="14"/>
      <x:c r="G997" s="14"/>
      <x:c r="H997" s="14"/>
      <x:c r="I997" s="14"/>
      <x:c r="J997" s="14"/>
      <x:c r="K997" s="14"/>
      <x:c r="L997" s="12"/>
      <x:c r="M997" s="12"/>
      <x:c r="N997" s="15" t="n">
        <x:f>IF(OR(L997="Operating",L997="Investing",L997="Financing"),C997,0)</x:f>
        <x:v>0</x:v>
      </x:c>
      <x:c r="O997" s="12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>
      <x:c r="A998" s="1"/>
      <x:c r="B998" s="1"/>
      <x:c r="C998" s="14"/>
      <x:c r="D998" s="14"/>
      <x:c r="E998" s="14"/>
      <x:c r="F998" s="14"/>
      <x:c r="G998" s="14"/>
      <x:c r="H998" s="14"/>
      <x:c r="I998" s="14"/>
      <x:c r="J998" s="14"/>
      <x:c r="K998" s="14"/>
      <x:c r="L998" s="12"/>
      <x:c r="M998" s="12"/>
      <x:c r="N998" s="15" t="n">
        <x:f>IF(OR(L998="Operating",L998="Investing",L998="Financing"),C998,0)</x:f>
        <x:v>0</x:v>
      </x:c>
      <x:c r="O998" s="12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>
      <x:c r="A999" s="1"/>
      <x:c r="B999" s="1"/>
      <x:c r="C999" s="14"/>
      <x:c r="D999" s="14"/>
      <x:c r="E999" s="14"/>
      <x:c r="F999" s="14"/>
      <x:c r="G999" s="14"/>
      <x:c r="H999" s="14"/>
      <x:c r="I999" s="14"/>
      <x:c r="J999" s="14"/>
      <x:c r="K999" s="14"/>
      <x:c r="L999" s="12"/>
      <x:c r="M999" s="12"/>
      <x:c r="N999" s="15" t="n">
        <x:f>IF(OR(L999="Operating",L999="Investing",L999="Financing"),C999,0)</x:f>
        <x:v>0</x:v>
      </x:c>
      <x:c r="O999" s="12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>
      <x:c r="A1000" s="1"/>
      <x:c r="B1000" s="1"/>
      <x:c r="C1000" s="14"/>
      <x:c r="D1000" s="14"/>
      <x:c r="E1000" s="14"/>
      <x:c r="F1000" s="14"/>
      <x:c r="G1000" s="14"/>
      <x:c r="H1000" s="14"/>
      <x:c r="I1000" s="14"/>
      <x:c r="J1000" s="14"/>
      <x:c r="K1000" s="14"/>
      <x:c r="L1000" s="12"/>
      <x:c r="M1000" s="12"/>
      <x:c r="N1000" s="15" t="n">
        <x:f>IF(OR(L1000="Operating",L1000="Investing",L1000="Financing"),C1000,0)</x:f>
        <x:v>0</x:v>
      </x:c>
      <x:c r="O1000" s="12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  <x:row r="1001">
      <x:c r="A1001" s="1"/>
      <x:c r="B1001" s="1"/>
      <x:c r="C1001" s="14"/>
      <x:c r="D1001" s="14"/>
      <x:c r="E1001" s="14"/>
      <x:c r="F1001" s="14"/>
      <x:c r="G1001" s="14"/>
      <x:c r="H1001" s="14"/>
      <x:c r="I1001" s="14"/>
      <x:c r="J1001" s="14"/>
      <x:c r="K1001" s="14"/>
      <x:c r="L1001" s="12"/>
      <x:c r="M1001" s="12"/>
      <x:c r="N1001" s="15" t="n">
        <x:f>IF(OR(L1001="Operating",L1001="Investing",L1001="Financing"),C1001,0)</x:f>
        <x:v>0</x:v>
      </x:c>
      <x:c r="O1001" s="12"/>
      <x:c r="P1001" s="1"/>
      <x:c r="Q1001" s="1"/>
      <x:c r="R1001" s="1"/>
      <x:c r="S1001" s="1"/>
      <x:c r="T1001" s="1"/>
      <x:c r="U1001" s="1"/>
      <x:c r="V1001" s="1"/>
      <x:c r="W1001" s="1"/>
      <x:c r="X1001" s="1"/>
      <x:c r="Y1001" s="1"/>
      <x:c r="Z1001" s="1"/>
    </x:row>
    <x:row r="1002">
      <x:c r="A1002" s="1"/>
      <x:c r="B1002" s="1"/>
      <x:c r="C1002" s="14"/>
      <x:c r="D1002" s="14"/>
      <x:c r="E1002" s="14"/>
      <x:c r="F1002" s="14"/>
      <x:c r="G1002" s="14"/>
      <x:c r="H1002" s="14"/>
      <x:c r="I1002" s="14"/>
      <x:c r="J1002" s="14"/>
      <x:c r="K1002" s="14"/>
      <x:c r="L1002" s="12"/>
      <x:c r="M1002" s="12"/>
      <x:c r="N1002" s="15" t="n">
        <x:f>IF(OR(L1002="Operating",L1002="Investing",L1002="Financing"),C1002,0)</x:f>
        <x:v>0</x:v>
      </x:c>
      <x:c r="O1002" s="12"/>
      <x:c r="P1002" s="1"/>
      <x:c r="Q1002" s="1"/>
      <x:c r="R1002" s="1"/>
      <x:c r="S1002" s="1"/>
      <x:c r="T1002" s="1"/>
      <x:c r="U1002" s="1"/>
      <x:c r="V1002" s="1"/>
      <x:c r="W1002" s="1"/>
      <x:c r="X1002" s="1"/>
      <x:c r="Y1002" s="1"/>
      <x:c r="Z1002" s="1"/>
    </x:row>
    <x:row r="1003">
      <x:c r="A1003" s="1"/>
      <x:c r="B1003" s="1"/>
      <x:c r="C1003" s="14"/>
      <x:c r="D1003" s="14"/>
      <x:c r="E1003" s="14"/>
      <x:c r="F1003" s="14"/>
      <x:c r="G1003" s="14"/>
      <x:c r="H1003" s="14"/>
      <x:c r="I1003" s="14"/>
      <x:c r="J1003" s="14"/>
      <x:c r="K1003" s="14"/>
      <x:c r="L1003" s="12"/>
      <x:c r="M1003" s="12"/>
      <x:c r="N1003" s="15" t="n">
        <x:f>IF(OR(L1003="Operating",L1003="Investing",L1003="Financing"),C1003,0)</x:f>
        <x:v>0</x:v>
      </x:c>
      <x:c r="O1003" s="12"/>
      <x:c r="P1003" s="1"/>
      <x:c r="Q1003" s="1"/>
      <x:c r="R1003" s="1"/>
      <x:c r="S1003" s="1"/>
      <x:c r="T1003" s="1"/>
      <x:c r="U1003" s="1"/>
      <x:c r="V1003" s="1"/>
      <x:c r="W1003" s="1"/>
      <x:c r="X1003" s="1"/>
      <x:c r="Y1003" s="1"/>
      <x:c r="Z1003" s="1"/>
    </x:row>
    <x:row r="1004">
      <x:c r="A1004" s="1"/>
      <x:c r="B1004" s="1"/>
      <x:c r="C1004" s="14"/>
      <x:c r="D1004" s="14"/>
      <x:c r="E1004" s="14"/>
      <x:c r="F1004" s="14"/>
      <x:c r="G1004" s="14"/>
      <x:c r="H1004" s="14"/>
      <x:c r="I1004" s="14"/>
      <x:c r="J1004" s="14"/>
      <x:c r="K1004" s="14"/>
      <x:c r="L1004" s="12"/>
      <x:c r="M1004" s="12"/>
      <x:c r="N1004" s="15" t="n">
        <x:f>IF(OR(L1004="Operating",L1004="Investing",L1004="Financing"),C1004,0)</x:f>
        <x:v>0</x:v>
      </x:c>
      <x:c r="O1004" s="12"/>
      <x:c r="P1004" s="1"/>
      <x:c r="Q1004" s="1"/>
      <x:c r="R1004" s="1"/>
      <x:c r="S1004" s="1"/>
      <x:c r="T1004" s="1"/>
      <x:c r="U1004" s="1"/>
      <x:c r="V1004" s="1"/>
      <x:c r="W1004" s="1"/>
      <x:c r="X1004" s="1"/>
      <x:c r="Y1004" s="1"/>
      <x:c r="Z1004" s="1"/>
    </x:row>
    <x:row r="1005">
      <x:c r="A1005" s="1"/>
      <x:c r="B1005" s="1"/>
      <x:c r="C1005" s="14"/>
      <x:c r="D1005" s="14"/>
      <x:c r="E1005" s="14"/>
      <x:c r="F1005" s="14"/>
      <x:c r="G1005" s="14"/>
      <x:c r="H1005" s="14"/>
      <x:c r="I1005" s="14"/>
      <x:c r="J1005" s="14"/>
      <x:c r="K1005" s="14"/>
      <x:c r="L1005" s="12"/>
      <x:c r="M1005" s="12"/>
      <x:c r="N1005" s="15" t="n">
        <x:f>IF(OR(L1005="Operating",L1005="Investing",L1005="Financing"),C1005,0)</x:f>
        <x:v>0</x:v>
      </x:c>
      <x:c r="O1005" s="12"/>
      <x:c r="P1005" s="1"/>
      <x:c r="Q1005" s="1"/>
      <x:c r="R1005" s="1"/>
      <x:c r="S1005" s="1"/>
      <x:c r="T1005" s="1"/>
      <x:c r="U1005" s="1"/>
      <x:c r="V1005" s="1"/>
      <x:c r="W1005" s="1"/>
      <x:c r="X1005" s="1"/>
      <x:c r="Y1005" s="1"/>
      <x:c r="Z1005" s="1"/>
    </x:row>
    <x:row r="1006">
      <x:c r="A1006" s="1"/>
      <x:c r="B1006" s="1"/>
      <x:c r="C1006" s="14"/>
      <x:c r="D1006" s="14"/>
      <x:c r="E1006" s="14"/>
      <x:c r="F1006" s="14"/>
      <x:c r="G1006" s="14"/>
      <x:c r="H1006" s="14"/>
      <x:c r="I1006" s="14"/>
      <x:c r="J1006" s="14"/>
      <x:c r="K1006" s="14"/>
      <x:c r="L1006" s="12"/>
      <x:c r="M1006" s="12"/>
      <x:c r="N1006" s="15" t="n">
        <x:f>IF(OR(L1006="Operating",L1006="Investing",L1006="Financing"),C1006,0)</x:f>
        <x:v>0</x:v>
      </x:c>
      <x:c r="O1006" s="12"/>
      <x:c r="P1006" s="1"/>
      <x:c r="Q1006" s="1"/>
      <x:c r="R1006" s="1"/>
      <x:c r="S1006" s="1"/>
      <x:c r="T1006" s="1"/>
      <x:c r="U1006" s="1"/>
      <x:c r="V1006" s="1"/>
      <x:c r="W1006" s="1"/>
      <x:c r="X1006" s="1"/>
      <x:c r="Y1006" s="1"/>
      <x:c r="Z1006" s="1"/>
    </x:row>
    <x:row r="1007">
      <x:c r="A1007" s="1"/>
      <x:c r="B1007" s="1"/>
      <x:c r="C1007" s="1"/>
      <x:c r="D1007" s="1"/>
      <x:c r="E1007" s="1"/>
      <x:c r="F1007" s="1"/>
      <x:c r="G1007" s="1"/>
      <x:c r="H1007" s="1"/>
      <x:c r="I1007" s="1"/>
      <x:c r="J1007" s="1"/>
      <x:c r="K1007" s="1"/>
      <x:c r="L1007" s="1"/>
      <x:c r="M1007" s="1"/>
      <x:c r="N1007" s="1"/>
      <x:c r="O1007" s="1"/>
      <x:c r="P1007" s="1"/>
      <x:c r="Q1007" s="1"/>
      <x:c r="R1007" s="1"/>
      <x:c r="S1007" s="1"/>
      <x:c r="T1007" s="1"/>
      <x:c r="U1007" s="1"/>
      <x:c r="V1007" s="1"/>
      <x:c r="W1007" s="1"/>
      <x:c r="X1007" s="1"/>
      <x:c r="Y1007" s="1"/>
      <x:c r="Z1007" s="1"/>
    </x:row>
    <x:row r="1008">
      <x:c r="A1008" s="1"/>
      <x:c r="B1008" s="1"/>
      <x:c r="C1008" s="1"/>
      <x:c r="D1008" s="1"/>
      <x:c r="E1008" s="1"/>
      <x:c r="F1008" s="1"/>
      <x:c r="G1008" s="1"/>
      <x:c r="H1008" s="1"/>
      <x:c r="I1008" s="1"/>
      <x:c r="J1008" s="1"/>
      <x:c r="K1008" s="1"/>
      <x:c r="L1008" s="1"/>
      <x:c r="M1008" s="1"/>
      <x:c r="N1008" s="1"/>
      <x:c r="O1008" s="1"/>
      <x:c r="P1008" s="1"/>
      <x:c r="Q1008" s="1"/>
      <x:c r="R1008" s="1"/>
      <x:c r="S1008" s="1"/>
      <x:c r="T1008" s="1"/>
      <x:c r="U1008" s="1"/>
      <x:c r="V1008" s="1"/>
      <x:c r="W1008" s="1"/>
      <x:c r="X1008" s="1"/>
      <x:c r="Y1008" s="1"/>
      <x:c r="Z1008" s="1"/>
    </x:row>
    <x:row r="1009">
      <x:c r="A1009" s="1"/>
      <x:c r="B1009" s="1"/>
      <x:c r="C1009" s="1"/>
      <x:c r="D1009" s="1"/>
      <x:c r="E1009" s="1"/>
      <x:c r="F1009" s="1"/>
      <x:c r="G1009" s="1"/>
      <x:c r="H1009" s="1"/>
      <x:c r="I1009" s="1"/>
      <x:c r="J1009" s="1"/>
      <x:c r="K1009" s="1"/>
      <x:c r="L1009" s="1"/>
      <x:c r="M1009" s="1"/>
      <x:c r="N1009" s="1"/>
      <x:c r="O1009" s="1"/>
      <x:c r="P1009" s="1"/>
      <x:c r="Q1009" s="1"/>
      <x:c r="R1009" s="1"/>
      <x:c r="S1009" s="1"/>
      <x:c r="T1009" s="1"/>
      <x:c r="U1009" s="1"/>
      <x:c r="V1009" s="1"/>
      <x:c r="W1009" s="1"/>
      <x:c r="X1009" s="1"/>
      <x:c r="Y1009" s="1"/>
      <x:c r="Z1009" s="1"/>
    </x:row>
    <x:row r="1010">
      <x:c r="A1010" s="1"/>
      <x:c r="B1010" s="1"/>
      <x:c r="C1010" s="1"/>
      <x:c r="D1010" s="1"/>
      <x:c r="E1010" s="1"/>
      <x:c r="F1010" s="1"/>
      <x:c r="G1010" s="1"/>
      <x:c r="H1010" s="1"/>
      <x:c r="I1010" s="1"/>
      <x:c r="J1010" s="1"/>
      <x:c r="K1010" s="1"/>
      <x:c r="L1010" s="1"/>
      <x:c r="M1010" s="1"/>
      <x:c r="N1010" s="1"/>
      <x:c r="O1010" s="1"/>
      <x:c r="P1010" s="1"/>
      <x:c r="Q1010" s="1"/>
      <x:c r="R1010" s="1"/>
      <x:c r="S1010" s="1"/>
      <x:c r="T1010" s="1"/>
      <x:c r="U1010" s="1"/>
      <x:c r="V1010" s="1"/>
      <x:c r="W1010" s="1"/>
      <x:c r="X1010" s="1"/>
      <x:c r="Y1010" s="1"/>
      <x:c r="Z1010" s="1"/>
    </x:row>
    <x:row r="1011">
      <x:c r="A1011" s="1"/>
      <x:c r="B1011" s="1"/>
      <x:c r="C1011" s="1"/>
      <x:c r="D1011" s="1"/>
      <x:c r="E1011" s="1"/>
      <x:c r="F1011" s="1"/>
      <x:c r="G1011" s="1"/>
      <x:c r="H1011" s="1"/>
      <x:c r="I1011" s="1"/>
      <x:c r="J1011" s="1"/>
      <x:c r="K1011" s="1"/>
      <x:c r="L1011" s="1"/>
      <x:c r="M1011" s="1"/>
      <x:c r="N1011" s="1"/>
      <x:c r="O1011" s="1"/>
      <x:c r="P1011" s="1"/>
      <x:c r="Q1011" s="1"/>
      <x:c r="R1011" s="1"/>
      <x:c r="S1011" s="1"/>
      <x:c r="T1011" s="1"/>
      <x:c r="U1011" s="1"/>
      <x:c r="V1011" s="1"/>
      <x:c r="W1011" s="1"/>
      <x:c r="X1011" s="1"/>
      <x:c r="Y1011" s="1"/>
      <x:c r="Z1011" s="1"/>
    </x:row>
    <x:row r="1012">
      <x:c r="A1012" s="1"/>
      <x:c r="B1012" s="1"/>
      <x:c r="C1012" s="1"/>
      <x:c r="D1012" s="1"/>
      <x:c r="E1012" s="1"/>
      <x:c r="F1012" s="1"/>
      <x:c r="G1012" s="1"/>
      <x:c r="H1012" s="1"/>
      <x:c r="I1012" s="1"/>
      <x:c r="J1012" s="1"/>
      <x:c r="K1012" s="1"/>
      <x:c r="L1012" s="1"/>
      <x:c r="M1012" s="1"/>
      <x:c r="N1012" s="1"/>
      <x:c r="O1012" s="1"/>
      <x:c r="P1012" s="1"/>
      <x:c r="Q1012" s="1"/>
      <x:c r="R1012" s="1"/>
      <x:c r="S1012" s="1"/>
      <x:c r="T1012" s="1"/>
      <x:c r="U1012" s="1"/>
      <x:c r="V1012" s="1"/>
      <x:c r="W1012" s="1"/>
      <x:c r="X1012" s="1"/>
      <x:c r="Y1012" s="1"/>
      <x:c r="Z1012" s="1"/>
    </x:row>
    <x:row r="1013">
      <x:c r="A1013" s="1"/>
      <x:c r="B1013" s="1"/>
      <x:c r="C1013" s="1"/>
      <x:c r="D1013" s="1"/>
      <x:c r="E1013" s="1"/>
      <x:c r="F1013" s="1"/>
      <x:c r="G1013" s="1"/>
      <x:c r="H1013" s="1"/>
      <x:c r="I1013" s="1"/>
      <x:c r="J1013" s="1"/>
      <x:c r="K1013" s="1"/>
      <x:c r="L1013" s="1"/>
      <x:c r="M1013" s="1"/>
      <x:c r="N1013" s="1"/>
      <x:c r="O1013" s="1"/>
      <x:c r="P1013" s="1"/>
      <x:c r="Q1013" s="1"/>
      <x:c r="R1013" s="1"/>
      <x:c r="S1013" s="1"/>
      <x:c r="T1013" s="1"/>
      <x:c r="U1013" s="1"/>
      <x:c r="V1013" s="1"/>
      <x:c r="W1013" s="1"/>
      <x:c r="X1013" s="1"/>
      <x:c r="Y1013" s="1"/>
      <x:c r="Z1013" s="1"/>
    </x:row>
    <x:row r="1014">
      <x:c r="A1014" s="1"/>
      <x:c r="B1014" s="1"/>
      <x:c r="C1014" s="1"/>
      <x:c r="D1014" s="1"/>
      <x:c r="E1014" s="1"/>
      <x:c r="F1014" s="1"/>
      <x:c r="G1014" s="1"/>
      <x:c r="H1014" s="1"/>
      <x:c r="I1014" s="1"/>
      <x:c r="J1014" s="1"/>
      <x:c r="K1014" s="1"/>
      <x:c r="L1014" s="1"/>
      <x:c r="M1014" s="1"/>
      <x:c r="N1014" s="1"/>
      <x:c r="O1014" s="1"/>
      <x:c r="P1014" s="1"/>
      <x:c r="Q1014" s="1"/>
      <x:c r="R1014" s="1"/>
      <x:c r="S1014" s="1"/>
      <x:c r="T1014" s="1"/>
      <x:c r="U1014" s="1"/>
      <x:c r="V1014" s="1"/>
      <x:c r="W1014" s="1"/>
      <x:c r="X1014" s="1"/>
      <x:c r="Y1014" s="1"/>
      <x:c r="Z1014" s="1"/>
    </x:row>
    <x:row r="1015">
      <x:c r="A1015" s="1"/>
      <x:c r="B1015" s="1"/>
      <x:c r="C1015" s="1"/>
      <x:c r="D1015" s="1"/>
      <x:c r="E1015" s="1"/>
      <x:c r="F1015" s="1"/>
      <x:c r="G1015" s="1"/>
      <x:c r="H1015" s="1"/>
      <x:c r="I1015" s="1"/>
      <x:c r="J1015" s="1"/>
      <x:c r="K1015" s="1"/>
      <x:c r="L1015" s="1"/>
      <x:c r="M1015" s="1"/>
      <x:c r="N1015" s="1"/>
      <x:c r="O1015" s="1"/>
      <x:c r="P1015" s="1"/>
      <x:c r="Q1015" s="1"/>
      <x:c r="R1015" s="1"/>
      <x:c r="S1015" s="1"/>
      <x:c r="T1015" s="1"/>
      <x:c r="U1015" s="1"/>
      <x:c r="V1015" s="1"/>
      <x:c r="W1015" s="1"/>
      <x:c r="X1015" s="1"/>
      <x:c r="Y1015" s="1"/>
      <x:c r="Z1015" s="1"/>
    </x:row>
    <x:row r="1016">
      <x:c r="A1016" s="1"/>
      <x:c r="B1016" s="1"/>
      <x:c r="C1016" s="1"/>
      <x:c r="D1016" s="1"/>
      <x:c r="E1016" s="1"/>
      <x:c r="F1016" s="1"/>
      <x:c r="G1016" s="1"/>
      <x:c r="H1016" s="1"/>
      <x:c r="I1016" s="1"/>
      <x:c r="J1016" s="1"/>
      <x:c r="K1016" s="1"/>
      <x:c r="L1016" s="1"/>
      <x:c r="M1016" s="1"/>
      <x:c r="N1016" s="1"/>
      <x:c r="O1016" s="1"/>
      <x:c r="P1016" s="1"/>
      <x:c r="Q1016" s="1"/>
      <x:c r="R1016" s="1"/>
      <x:c r="S1016" s="1"/>
      <x:c r="T1016" s="1"/>
      <x:c r="U1016" s="1"/>
      <x:c r="V1016" s="1"/>
      <x:c r="W1016" s="1"/>
      <x:c r="X1016" s="1"/>
      <x:c r="Y1016" s="1"/>
      <x:c r="Z1016" s="1"/>
    </x:row>
    <x:row r="1017">
      <x:c r="A1017" s="1"/>
      <x:c r="B1017" s="1"/>
      <x:c r="C1017" s="1"/>
      <x:c r="D1017" s="1"/>
      <x:c r="E1017" s="1"/>
      <x:c r="F1017" s="1"/>
      <x:c r="G1017" s="1"/>
      <x:c r="H1017" s="1"/>
      <x:c r="I1017" s="1"/>
      <x:c r="J1017" s="1"/>
      <x:c r="K1017" s="1"/>
      <x:c r="L1017" s="1"/>
      <x:c r="M1017" s="1"/>
      <x:c r="N1017" s="1"/>
      <x:c r="O1017" s="1"/>
      <x:c r="P1017" s="1"/>
      <x:c r="Q1017" s="1"/>
      <x:c r="R1017" s="1"/>
      <x:c r="S1017" s="1"/>
      <x:c r="T1017" s="1"/>
      <x:c r="U1017" s="1"/>
      <x:c r="V1017" s="1"/>
      <x:c r="W1017" s="1"/>
      <x:c r="X1017" s="1"/>
      <x:c r="Y1017" s="1"/>
      <x:c r="Z1017" s="1"/>
    </x:row>
    <x:row r="1018">
      <x:c r="A1018" s="1"/>
      <x:c r="B1018" s="1"/>
      <x:c r="C1018" s="1"/>
      <x:c r="D1018" s="1"/>
      <x:c r="E1018" s="1"/>
      <x:c r="F1018" s="1"/>
      <x:c r="G1018" s="1"/>
      <x:c r="H1018" s="1"/>
      <x:c r="I1018" s="1"/>
      <x:c r="J1018" s="1"/>
      <x:c r="K1018" s="1"/>
      <x:c r="L1018" s="1"/>
      <x:c r="M1018" s="1"/>
      <x:c r="N1018" s="1"/>
      <x:c r="O1018" s="1"/>
      <x:c r="P1018" s="1"/>
      <x:c r="Q1018" s="1"/>
      <x:c r="R1018" s="1"/>
      <x:c r="S1018" s="1"/>
      <x:c r="T1018" s="1"/>
      <x:c r="U1018" s="1"/>
      <x:c r="V1018" s="1"/>
      <x:c r="W1018" s="1"/>
      <x:c r="X1018" s="1"/>
      <x:c r="Y1018" s="1"/>
      <x:c r="Z1018" s="1"/>
    </x:row>
    <x:row r="1019">
      <x:c r="A1019" s="1"/>
      <x:c r="B1019" s="1"/>
      <x:c r="C1019" s="1"/>
      <x:c r="D1019" s="1"/>
      <x:c r="E1019" s="1"/>
      <x:c r="F1019" s="1"/>
      <x:c r="G1019" s="1"/>
      <x:c r="H1019" s="1"/>
      <x:c r="I1019" s="1"/>
      <x:c r="J1019" s="1"/>
      <x:c r="K1019" s="1"/>
      <x:c r="L1019" s="1"/>
      <x:c r="M1019" s="1"/>
      <x:c r="N1019" s="1"/>
      <x:c r="O1019" s="1"/>
      <x:c r="P1019" s="1"/>
      <x:c r="Q1019" s="1"/>
      <x:c r="R1019" s="1"/>
      <x:c r="S1019" s="1"/>
      <x:c r="T1019" s="1"/>
      <x:c r="U1019" s="1"/>
      <x:c r="V1019" s="1"/>
      <x:c r="W1019" s="1"/>
      <x:c r="X1019" s="1"/>
      <x:c r="Y1019" s="1"/>
      <x:c r="Z1019" s="1"/>
    </x:row>
    <x:row r="1020">
      <x:c r="A1020" s="1"/>
      <x:c r="B1020" s="1"/>
      <x:c r="C1020" s="1"/>
      <x:c r="D1020" s="1"/>
      <x:c r="E1020" s="1"/>
      <x:c r="F1020" s="1"/>
      <x:c r="G1020" s="1"/>
      <x:c r="H1020" s="1"/>
      <x:c r="I1020" s="1"/>
      <x:c r="J1020" s="1"/>
      <x:c r="K1020" s="1"/>
      <x:c r="L1020" s="1"/>
      <x:c r="M1020" s="1"/>
      <x:c r="N1020" s="1"/>
      <x:c r="O1020" s="1"/>
      <x:c r="P1020" s="1"/>
      <x:c r="Q1020" s="1"/>
      <x:c r="R1020" s="1"/>
      <x:c r="S1020" s="1"/>
      <x:c r="T1020" s="1"/>
      <x:c r="U1020" s="1"/>
      <x:c r="V1020" s="1"/>
      <x:c r="W1020" s="1"/>
      <x:c r="X1020" s="1"/>
      <x:c r="Y1020" s="1"/>
      <x:c r="Z1020" s="1"/>
    </x:row>
    <x:row r="1021">
      <x:c r="A1021" s="1"/>
      <x:c r="B1021" s="1"/>
      <x:c r="C1021" s="1"/>
      <x:c r="D1021" s="1"/>
      <x:c r="E1021" s="1"/>
      <x:c r="F1021" s="1"/>
      <x:c r="G1021" s="1"/>
      <x:c r="H1021" s="1"/>
      <x:c r="I1021" s="1"/>
      <x:c r="J1021" s="1"/>
      <x:c r="K1021" s="1"/>
      <x:c r="L1021" s="1"/>
      <x:c r="M1021" s="1"/>
      <x:c r="N1021" s="1"/>
      <x:c r="O1021" s="1"/>
      <x:c r="P1021" s="1"/>
      <x:c r="Q1021" s="1"/>
      <x:c r="R1021" s="1"/>
      <x:c r="S1021" s="1"/>
      <x:c r="T1021" s="1"/>
      <x:c r="U1021" s="1"/>
      <x:c r="V1021" s="1"/>
      <x:c r="W1021" s="1"/>
      <x:c r="X1021" s="1"/>
      <x:c r="Y1021" s="1"/>
      <x:c r="Z1021" s="1"/>
    </x:row>
    <x:row r="1022">
      <x:c r="A1022" s="1"/>
      <x:c r="B1022" s="1"/>
      <x:c r="C1022" s="1"/>
      <x:c r="D1022" s="1"/>
      <x:c r="E1022" s="1"/>
      <x:c r="F1022" s="1"/>
      <x:c r="G1022" s="1"/>
      <x:c r="H1022" s="1"/>
      <x:c r="I1022" s="1"/>
      <x:c r="J1022" s="1"/>
      <x:c r="K1022" s="1"/>
      <x:c r="L1022" s="1"/>
      <x:c r="M1022" s="1"/>
      <x:c r="N1022" s="1"/>
      <x:c r="O1022" s="1"/>
      <x:c r="P1022" s="1"/>
      <x:c r="Q1022" s="1"/>
      <x:c r="R1022" s="1"/>
      <x:c r="S1022" s="1"/>
      <x:c r="T1022" s="1"/>
      <x:c r="U1022" s="1"/>
      <x:c r="V1022" s="1"/>
      <x:c r="W1022" s="1"/>
      <x:c r="X1022" s="1"/>
      <x:c r="Y1022" s="1"/>
      <x:c r="Z1022" s="1"/>
    </x:row>
    <x:row r="1023">
      <x:c r="A1023" s="1"/>
      <x:c r="B1023" s="1"/>
      <x:c r="C1023" s="1"/>
      <x:c r="D1023" s="1"/>
      <x:c r="E1023" s="1"/>
      <x:c r="F1023" s="1"/>
      <x:c r="G1023" s="1"/>
      <x:c r="H1023" s="1"/>
      <x:c r="I1023" s="1"/>
      <x:c r="J1023" s="1"/>
      <x:c r="K1023" s="1"/>
      <x:c r="L1023" s="1"/>
      <x:c r="M1023" s="1"/>
      <x:c r="N1023" s="1"/>
      <x:c r="O1023" s="1"/>
      <x:c r="P1023" s="1"/>
      <x:c r="Q1023" s="1"/>
      <x:c r="R1023" s="1"/>
      <x:c r="S1023" s="1"/>
      <x:c r="T1023" s="1"/>
      <x:c r="U1023" s="1"/>
      <x:c r="V1023" s="1"/>
      <x:c r="W1023" s="1"/>
      <x:c r="X1023" s="1"/>
      <x:c r="Y1023" s="1"/>
      <x:c r="Z1023" s="1"/>
    </x:row>
    <x:row r="1024">
      <x:c r="A1024" s="1"/>
      <x:c r="B1024" s="1"/>
      <x:c r="C1024" s="1"/>
      <x:c r="D1024" s="1"/>
      <x:c r="E1024" s="1"/>
      <x:c r="F1024" s="1"/>
      <x:c r="G1024" s="1"/>
      <x:c r="H1024" s="1"/>
      <x:c r="I1024" s="1"/>
      <x:c r="J1024" s="1"/>
      <x:c r="K1024" s="1"/>
      <x:c r="L1024" s="1"/>
      <x:c r="M1024" s="1"/>
      <x:c r="N1024" s="1"/>
      <x:c r="O1024" s="1"/>
      <x:c r="P1024" s="1"/>
      <x:c r="Q1024" s="1"/>
      <x:c r="R1024" s="1"/>
      <x:c r="S1024" s="1"/>
      <x:c r="T1024" s="1"/>
      <x:c r="U1024" s="1"/>
      <x:c r="V1024" s="1"/>
      <x:c r="W1024" s="1"/>
      <x:c r="X1024" s="1"/>
      <x:c r="Y1024" s="1"/>
      <x:c r="Z1024" s="1"/>
    </x:row>
    <x:row r="1025">
      <x:c r="A1025" s="1"/>
      <x:c r="B1025" s="1"/>
      <x:c r="C1025" s="1"/>
      <x:c r="D1025" s="1"/>
      <x:c r="E1025" s="1"/>
      <x:c r="F1025" s="1"/>
      <x:c r="G1025" s="1"/>
      <x:c r="H1025" s="1"/>
      <x:c r="I1025" s="1"/>
      <x:c r="J1025" s="1"/>
      <x:c r="K1025" s="1"/>
      <x:c r="L1025" s="1"/>
      <x:c r="M1025" s="1"/>
      <x:c r="N1025" s="1"/>
      <x:c r="O1025" s="1"/>
      <x:c r="P1025" s="1"/>
      <x:c r="Q1025" s="1"/>
      <x:c r="R1025" s="1"/>
      <x:c r="S1025" s="1"/>
      <x:c r="T1025" s="1"/>
      <x:c r="U1025" s="1"/>
      <x:c r="V1025" s="1"/>
      <x:c r="W1025" s="1"/>
      <x:c r="X1025" s="1"/>
      <x:c r="Y1025" s="1"/>
      <x:c r="Z1025" s="1"/>
    </x:row>
    <x:row r="1026">
      <x:c r="A1026" s="1"/>
      <x:c r="B1026" s="1"/>
      <x:c r="C1026" s="1"/>
      <x:c r="D1026" s="1"/>
      <x:c r="E1026" s="1"/>
      <x:c r="F1026" s="1"/>
      <x:c r="G1026" s="1"/>
      <x:c r="H1026" s="1"/>
      <x:c r="I1026" s="1"/>
      <x:c r="J1026" s="1"/>
      <x:c r="K1026" s="1"/>
      <x:c r="L1026" s="1"/>
      <x:c r="M1026" s="1"/>
      <x:c r="N1026" s="1"/>
      <x:c r="O1026" s="1"/>
      <x:c r="P1026" s="1"/>
      <x:c r="Q1026" s="1"/>
      <x:c r="R1026" s="1"/>
      <x:c r="S1026" s="1"/>
      <x:c r="T1026" s="1"/>
      <x:c r="U1026" s="1"/>
      <x:c r="V1026" s="1"/>
      <x:c r="W1026" s="1"/>
      <x:c r="X1026" s="1"/>
      <x:c r="Y1026" s="1"/>
      <x:c r="Z1026" s="1"/>
    </x:row>
    <x:row r="1027">
      <x:c r="A1027" s="1"/>
      <x:c r="B1027" s="1"/>
      <x:c r="C1027" s="1"/>
      <x:c r="D1027" s="1"/>
      <x:c r="E1027" s="1"/>
      <x:c r="F1027" s="1"/>
      <x:c r="G1027" s="1"/>
      <x:c r="H1027" s="1"/>
      <x:c r="I1027" s="1"/>
      <x:c r="J1027" s="1"/>
      <x:c r="K1027" s="1"/>
      <x:c r="L1027" s="1"/>
      <x:c r="M1027" s="1"/>
      <x:c r="N1027" s="1"/>
      <x:c r="O1027" s="1"/>
      <x:c r="P1027" s="1"/>
      <x:c r="Q1027" s="1"/>
      <x:c r="R1027" s="1"/>
      <x:c r="S1027" s="1"/>
      <x:c r="T1027" s="1"/>
      <x:c r="U1027" s="1"/>
      <x:c r="V1027" s="1"/>
      <x:c r="W1027" s="1"/>
      <x:c r="X1027" s="1"/>
      <x:c r="Y1027" s="1"/>
      <x:c r="Z1027" s="1"/>
    </x:row>
    <x:row r="1028">
      <x:c r="A1028" s="1"/>
      <x:c r="B1028" s="1"/>
      <x:c r="C1028" s="1"/>
      <x:c r="D1028" s="1"/>
      <x:c r="E1028" s="1"/>
      <x:c r="F1028" s="1"/>
      <x:c r="G1028" s="1"/>
      <x:c r="H1028" s="1"/>
      <x:c r="I1028" s="1"/>
      <x:c r="J1028" s="1"/>
      <x:c r="K1028" s="1"/>
      <x:c r="L1028" s="1"/>
      <x:c r="M1028" s="1"/>
      <x:c r="N1028" s="1"/>
      <x:c r="O1028" s="1"/>
      <x:c r="P1028" s="1"/>
      <x:c r="Q1028" s="1"/>
      <x:c r="R1028" s="1"/>
      <x:c r="S1028" s="1"/>
      <x:c r="T1028" s="1"/>
      <x:c r="U1028" s="1"/>
      <x:c r="V1028" s="1"/>
      <x:c r="W1028" s="1"/>
      <x:c r="X1028" s="1"/>
      <x:c r="Y1028" s="1"/>
      <x:c r="Z1028" s="1"/>
    </x:row>
    <x:row r="1029">
      <x:c r="A1029" s="1"/>
      <x:c r="B1029" s="1"/>
      <x:c r="C1029" s="1"/>
      <x:c r="D1029" s="1"/>
      <x:c r="E1029" s="1"/>
      <x:c r="F1029" s="1"/>
      <x:c r="G1029" s="1"/>
      <x:c r="H1029" s="1"/>
      <x:c r="I1029" s="1"/>
      <x:c r="J1029" s="1"/>
      <x:c r="K1029" s="1"/>
      <x:c r="L1029" s="1"/>
      <x:c r="M1029" s="1"/>
      <x:c r="N1029" s="1"/>
      <x:c r="O1029" s="1"/>
      <x:c r="P1029" s="1"/>
      <x:c r="Q1029" s="1"/>
      <x:c r="R1029" s="1"/>
      <x:c r="S1029" s="1"/>
      <x:c r="T1029" s="1"/>
      <x:c r="U1029" s="1"/>
      <x:c r="V1029" s="1"/>
      <x:c r="W1029" s="1"/>
      <x:c r="X1029" s="1"/>
      <x:c r="Y1029" s="1"/>
      <x:c r="Z1029" s="1"/>
    </x:row>
    <x:row r="1030">
      <x:c r="A1030" s="1"/>
      <x:c r="B1030" s="1"/>
      <x:c r="C1030" s="1"/>
      <x:c r="D1030" s="1"/>
      <x:c r="E1030" s="1"/>
      <x:c r="F1030" s="1"/>
      <x:c r="G1030" s="1"/>
      <x:c r="H1030" s="1"/>
      <x:c r="I1030" s="1"/>
      <x:c r="J1030" s="1"/>
      <x:c r="K1030" s="1"/>
      <x:c r="L1030" s="1"/>
      <x:c r="M1030" s="1"/>
      <x:c r="N1030" s="1"/>
      <x:c r="O1030" s="1"/>
      <x:c r="P1030" s="1"/>
      <x:c r="Q1030" s="1"/>
      <x:c r="R1030" s="1"/>
      <x:c r="S1030" s="1"/>
      <x:c r="T1030" s="1"/>
      <x:c r="U1030" s="1"/>
      <x:c r="V1030" s="1"/>
      <x:c r="W1030" s="1"/>
      <x:c r="X1030" s="1"/>
      <x:c r="Y1030" s="1"/>
      <x:c r="Z1030" s="1"/>
    </x:row>
    <x:row r="1031">
      <x:c r="A1031" s="1"/>
      <x:c r="B1031" s="1"/>
      <x:c r="C1031" s="1"/>
      <x:c r="D1031" s="1"/>
      <x:c r="E1031" s="1"/>
      <x:c r="F1031" s="1"/>
      <x:c r="G1031" s="1"/>
      <x:c r="H1031" s="1"/>
      <x:c r="I1031" s="1"/>
      <x:c r="J1031" s="1"/>
      <x:c r="K1031" s="1"/>
      <x:c r="L1031" s="1"/>
      <x:c r="M1031" s="1"/>
      <x:c r="N1031" s="1"/>
      <x:c r="O1031" s="1"/>
      <x:c r="P1031" s="1"/>
      <x:c r="Q1031" s="1"/>
      <x:c r="R1031" s="1"/>
      <x:c r="S1031" s="1"/>
      <x:c r="T1031" s="1"/>
      <x:c r="U1031" s="1"/>
      <x:c r="V1031" s="1"/>
      <x:c r="W1031" s="1"/>
      <x:c r="X1031" s="1"/>
      <x:c r="Y1031" s="1"/>
      <x:c r="Z1031" s="1"/>
    </x:row>
    <x:row r="1032">
      <x:c r="A1032" s="1"/>
      <x:c r="B1032" s="1"/>
      <x:c r="C1032" s="1"/>
      <x:c r="D1032" s="1"/>
      <x:c r="E1032" s="1"/>
      <x:c r="F1032" s="1"/>
      <x:c r="G1032" s="1"/>
      <x:c r="H1032" s="1"/>
      <x:c r="I1032" s="1"/>
      <x:c r="J1032" s="1"/>
      <x:c r="K1032" s="1"/>
      <x:c r="L1032" s="1"/>
      <x:c r="M1032" s="1"/>
      <x:c r="N1032" s="1"/>
      <x:c r="O1032" s="1"/>
      <x:c r="P1032" s="1"/>
      <x:c r="Q1032" s="1"/>
      <x:c r="R1032" s="1"/>
      <x:c r="S1032" s="1"/>
      <x:c r="T1032" s="1"/>
      <x:c r="U1032" s="1"/>
      <x:c r="V1032" s="1"/>
      <x:c r="W1032" s="1"/>
      <x:c r="X1032" s="1"/>
      <x:c r="Y1032" s="1"/>
      <x:c r="Z1032" s="1"/>
    </x:row>
    <x:row r="1033">
      <x:c r="A1033" s="1"/>
      <x:c r="B1033" s="1"/>
      <x:c r="C1033" s="1"/>
      <x:c r="D1033" s="1"/>
      <x:c r="E1033" s="1"/>
      <x:c r="F1033" s="1"/>
      <x:c r="G1033" s="1"/>
      <x:c r="H1033" s="1"/>
      <x:c r="I1033" s="1"/>
      <x:c r="J1033" s="1"/>
      <x:c r="K1033" s="1"/>
      <x:c r="L1033" s="1"/>
      <x:c r="M1033" s="1"/>
      <x:c r="N1033" s="1"/>
      <x:c r="O1033" s="1"/>
      <x:c r="P1033" s="1"/>
      <x:c r="Q1033" s="1"/>
      <x:c r="R1033" s="1"/>
      <x:c r="S1033" s="1"/>
      <x:c r="T1033" s="1"/>
      <x:c r="U1033" s="1"/>
      <x:c r="V1033" s="1"/>
      <x:c r="W1033" s="1"/>
      <x:c r="X1033" s="1"/>
      <x:c r="Y1033" s="1"/>
      <x:c r="Z1033" s="1"/>
    </x:row>
    <x:row r="1034">
      <x:c r="A1034" s="1"/>
      <x:c r="B1034" s="1"/>
      <x:c r="C1034" s="1"/>
      <x:c r="D1034" s="1"/>
      <x:c r="E1034" s="1"/>
      <x:c r="F1034" s="1"/>
      <x:c r="G1034" s="1"/>
      <x:c r="H1034" s="1"/>
      <x:c r="I1034" s="1"/>
      <x:c r="J1034" s="1"/>
      <x:c r="K1034" s="1"/>
      <x:c r="L1034" s="1"/>
      <x:c r="M1034" s="1"/>
      <x:c r="N1034" s="1"/>
      <x:c r="O1034" s="1"/>
      <x:c r="P1034" s="1"/>
      <x:c r="Q1034" s="1"/>
      <x:c r="R1034" s="1"/>
      <x:c r="S1034" s="1"/>
      <x:c r="T1034" s="1"/>
      <x:c r="U1034" s="1"/>
      <x:c r="V1034" s="1"/>
      <x:c r="W1034" s="1"/>
      <x:c r="X1034" s="1"/>
      <x:c r="Y1034" s="1"/>
      <x:c r="Z1034" s="1"/>
    </x:row>
    <x:row r="1035">
      <x:c r="A1035" s="1"/>
      <x:c r="B1035" s="1"/>
      <x:c r="C1035" s="1"/>
      <x:c r="D1035" s="1"/>
      <x:c r="E1035" s="1"/>
      <x:c r="F1035" s="1"/>
      <x:c r="G1035" s="1"/>
      <x:c r="H1035" s="1"/>
      <x:c r="I1035" s="1"/>
      <x:c r="J1035" s="1"/>
      <x:c r="K1035" s="1"/>
      <x:c r="L1035" s="1"/>
      <x:c r="M1035" s="1"/>
      <x:c r="N1035" s="1"/>
      <x:c r="O1035" s="1"/>
      <x:c r="P1035" s="1"/>
      <x:c r="Q1035" s="1"/>
      <x:c r="R1035" s="1"/>
      <x:c r="S1035" s="1"/>
      <x:c r="T1035" s="1"/>
      <x:c r="U1035" s="1"/>
      <x:c r="V1035" s="1"/>
      <x:c r="W1035" s="1"/>
      <x:c r="X1035" s="1"/>
      <x:c r="Y1035" s="1"/>
      <x:c r="Z1035" s="1"/>
    </x:row>
    <x:row r="1036">
      <x:c r="A1036" s="1"/>
      <x:c r="B1036" s="1"/>
      <x:c r="C1036" s="1"/>
      <x:c r="D1036" s="1"/>
      <x:c r="E1036" s="1"/>
      <x:c r="F1036" s="1"/>
      <x:c r="G1036" s="1"/>
      <x:c r="H1036" s="1"/>
      <x:c r="I1036" s="1"/>
      <x:c r="J1036" s="1"/>
      <x:c r="K1036" s="1"/>
      <x:c r="L1036" s="1"/>
      <x:c r="M1036" s="1"/>
      <x:c r="N1036" s="1"/>
      <x:c r="O1036" s="1"/>
      <x:c r="P1036" s="1"/>
      <x:c r="Q1036" s="1"/>
      <x:c r="R1036" s="1"/>
      <x:c r="S1036" s="1"/>
      <x:c r="T1036" s="1"/>
      <x:c r="U1036" s="1"/>
      <x:c r="V1036" s="1"/>
      <x:c r="W1036" s="1"/>
      <x:c r="X1036" s="1"/>
      <x:c r="Y1036" s="1"/>
      <x:c r="Z1036" s="1"/>
    </x:row>
    <x:row r="1037">
      <x:c r="A1037" s="1"/>
      <x:c r="B1037" s="1"/>
      <x:c r="C1037" s="1"/>
      <x:c r="D1037" s="1"/>
      <x:c r="E1037" s="1"/>
      <x:c r="F1037" s="1"/>
      <x:c r="G1037" s="1"/>
      <x:c r="H1037" s="1"/>
      <x:c r="I1037" s="1"/>
      <x:c r="J1037" s="1"/>
      <x:c r="K1037" s="1"/>
      <x:c r="L1037" s="1"/>
      <x:c r="M1037" s="1"/>
      <x:c r="N1037" s="1"/>
      <x:c r="O1037" s="1"/>
      <x:c r="P1037" s="1"/>
      <x:c r="Q1037" s="1"/>
      <x:c r="R1037" s="1"/>
      <x:c r="S1037" s="1"/>
      <x:c r="T1037" s="1"/>
      <x:c r="U1037" s="1"/>
      <x:c r="V1037" s="1"/>
      <x:c r="W1037" s="1"/>
      <x:c r="X1037" s="1"/>
      <x:c r="Y1037" s="1"/>
      <x:c r="Z1037" s="1"/>
    </x:row>
    <x:row r="1038">
      <x:c r="A1038" s="1"/>
      <x:c r="B1038" s="1"/>
      <x:c r="C1038" s="1"/>
      <x:c r="D1038" s="1"/>
      <x:c r="E1038" s="1"/>
      <x:c r="F1038" s="1"/>
      <x:c r="G1038" s="1"/>
      <x:c r="H1038" s="1"/>
      <x:c r="I1038" s="1"/>
      <x:c r="J1038" s="1"/>
      <x:c r="K1038" s="1"/>
      <x:c r="L1038" s="1"/>
      <x:c r="M1038" s="1"/>
      <x:c r="N1038" s="1"/>
      <x:c r="O1038" s="1"/>
      <x:c r="P1038" s="1"/>
      <x:c r="Q1038" s="1"/>
      <x:c r="R1038" s="1"/>
      <x:c r="S1038" s="1"/>
      <x:c r="T1038" s="1"/>
      <x:c r="U1038" s="1"/>
      <x:c r="V1038" s="1"/>
      <x:c r="W1038" s="1"/>
      <x:c r="X1038" s="1"/>
      <x:c r="Y1038" s="1"/>
      <x:c r="Z1038" s="1"/>
    </x:row>
    <x:row r="1039">
      <x:c r="A1039" s="1"/>
      <x:c r="B1039" s="1"/>
      <x:c r="C1039" s="1"/>
      <x:c r="D1039" s="1"/>
      <x:c r="E1039" s="1"/>
      <x:c r="F1039" s="1"/>
      <x:c r="G1039" s="1"/>
      <x:c r="H1039" s="1"/>
      <x:c r="I1039" s="1"/>
      <x:c r="J1039" s="1"/>
      <x:c r="K1039" s="1"/>
      <x:c r="L1039" s="1"/>
      <x:c r="M1039" s="1"/>
      <x:c r="N1039" s="1"/>
      <x:c r="O1039" s="1"/>
      <x:c r="P1039" s="1"/>
      <x:c r="Q1039" s="1"/>
      <x:c r="R1039" s="1"/>
      <x:c r="S1039" s="1"/>
      <x:c r="T1039" s="1"/>
      <x:c r="U1039" s="1"/>
      <x:c r="V1039" s="1"/>
      <x:c r="W1039" s="1"/>
      <x:c r="X1039" s="1"/>
      <x:c r="Y1039" s="1"/>
      <x:c r="Z1039" s="1"/>
    </x:row>
    <x:row r="1040">
      <x:c r="A1040" s="1"/>
      <x:c r="B1040" s="1"/>
      <x:c r="C1040" s="1"/>
      <x:c r="D1040" s="1"/>
      <x:c r="E1040" s="1"/>
      <x:c r="F1040" s="1"/>
      <x:c r="G1040" s="1"/>
      <x:c r="H1040" s="1"/>
      <x:c r="I1040" s="1"/>
      <x:c r="J1040" s="1"/>
      <x:c r="K1040" s="1"/>
      <x:c r="L1040" s="1"/>
      <x:c r="M1040" s="1"/>
      <x:c r="N1040" s="1"/>
      <x:c r="O1040" s="1"/>
      <x:c r="P1040" s="1"/>
      <x:c r="Q1040" s="1"/>
      <x:c r="R1040" s="1"/>
      <x:c r="S1040" s="1"/>
      <x:c r="T1040" s="1"/>
      <x:c r="U1040" s="1"/>
      <x:c r="V1040" s="1"/>
      <x:c r="W1040" s="1"/>
      <x:c r="X1040" s="1"/>
      <x:c r="Y1040" s="1"/>
      <x:c r="Z1040" s="1"/>
    </x:row>
    <x:row r="1041">
      <x:c r="A1041" s="1"/>
      <x:c r="B1041" s="1"/>
      <x:c r="C1041" s="1"/>
      <x:c r="D1041" s="1"/>
      <x:c r="E1041" s="1"/>
      <x:c r="F1041" s="1"/>
      <x:c r="G1041" s="1"/>
      <x:c r="H1041" s="1"/>
      <x:c r="I1041" s="1"/>
      <x:c r="J1041" s="1"/>
      <x:c r="K1041" s="1"/>
      <x:c r="L1041" s="1"/>
      <x:c r="M1041" s="1"/>
      <x:c r="N1041" s="1"/>
      <x:c r="O1041" s="1"/>
      <x:c r="P1041" s="1"/>
      <x:c r="Q1041" s="1"/>
      <x:c r="R1041" s="1"/>
      <x:c r="S1041" s="1"/>
      <x:c r="T1041" s="1"/>
      <x:c r="U1041" s="1"/>
      <x:c r="V1041" s="1"/>
      <x:c r="W1041" s="1"/>
      <x:c r="X1041" s="1"/>
      <x:c r="Y1041" s="1"/>
      <x:c r="Z1041" s="1"/>
    </x:row>
    <x:row r="1042">
      <x:c r="A1042" s="1"/>
      <x:c r="B1042" s="1"/>
      <x:c r="C1042" s="1"/>
      <x:c r="D1042" s="1"/>
      <x:c r="E1042" s="1"/>
      <x:c r="F1042" s="1"/>
      <x:c r="G1042" s="1"/>
      <x:c r="H1042" s="1"/>
      <x:c r="I1042" s="1"/>
      <x:c r="J1042" s="1"/>
      <x:c r="K1042" s="1"/>
      <x:c r="L1042" s="1"/>
      <x:c r="M1042" s="1"/>
      <x:c r="N1042" s="1"/>
      <x:c r="O1042" s="1"/>
      <x:c r="P1042" s="1"/>
      <x:c r="Q1042" s="1"/>
      <x:c r="R1042" s="1"/>
      <x:c r="S1042" s="1"/>
      <x:c r="T1042" s="1"/>
      <x:c r="U1042" s="1"/>
      <x:c r="V1042" s="1"/>
      <x:c r="W1042" s="1"/>
      <x:c r="X1042" s="1"/>
      <x:c r="Y1042" s="1"/>
      <x:c r="Z1042" s="1"/>
    </x:row>
    <x:row r="1043">
      <x:c r="A1043" s="1"/>
      <x:c r="B1043" s="1"/>
      <x:c r="C1043" s="1"/>
      <x:c r="D1043" s="1"/>
      <x:c r="E1043" s="1"/>
      <x:c r="F1043" s="1"/>
      <x:c r="G1043" s="1"/>
      <x:c r="H1043" s="1"/>
      <x:c r="I1043" s="1"/>
      <x:c r="J1043" s="1"/>
      <x:c r="K1043" s="1"/>
      <x:c r="L1043" s="1"/>
      <x:c r="M1043" s="1"/>
      <x:c r="N1043" s="1"/>
      <x:c r="O1043" s="1"/>
      <x:c r="P1043" s="1"/>
      <x:c r="Q1043" s="1"/>
      <x:c r="R1043" s="1"/>
      <x:c r="S1043" s="1"/>
      <x:c r="T1043" s="1"/>
      <x:c r="U1043" s="1"/>
      <x:c r="V1043" s="1"/>
      <x:c r="W1043" s="1"/>
      <x:c r="X1043" s="1"/>
      <x:c r="Y1043" s="1"/>
      <x:c r="Z1043" s="1"/>
    </x:row>
    <x:row r="1044">
      <x:c r="A1044" s="1"/>
      <x:c r="B1044" s="1"/>
      <x:c r="C1044" s="1"/>
      <x:c r="D1044" s="1"/>
      <x:c r="E1044" s="1"/>
      <x:c r="F1044" s="1"/>
      <x:c r="G1044" s="1"/>
      <x:c r="H1044" s="1"/>
      <x:c r="I1044" s="1"/>
      <x:c r="J1044" s="1"/>
      <x:c r="K1044" s="1"/>
      <x:c r="L1044" s="1"/>
      <x:c r="M1044" s="1"/>
      <x:c r="N1044" s="1"/>
      <x:c r="O1044" s="1"/>
      <x:c r="P1044" s="1"/>
      <x:c r="Q1044" s="1"/>
      <x:c r="R1044" s="1"/>
      <x:c r="S1044" s="1"/>
      <x:c r="T1044" s="1"/>
      <x:c r="U1044" s="1"/>
      <x:c r="V1044" s="1"/>
      <x:c r="W1044" s="1"/>
      <x:c r="X1044" s="1"/>
      <x:c r="Y1044" s="1"/>
      <x:c r="Z1044" s="1"/>
    </x:row>
    <x:row r="1045">
      <x:c r="A1045" s="1"/>
      <x:c r="B1045" s="1"/>
      <x:c r="C1045" s="1"/>
      <x:c r="D1045" s="1"/>
      <x:c r="E1045" s="1"/>
      <x:c r="F1045" s="1"/>
      <x:c r="G1045" s="1"/>
      <x:c r="H1045" s="1"/>
      <x:c r="I1045" s="1"/>
      <x:c r="J1045" s="1"/>
      <x:c r="K1045" s="1"/>
      <x:c r="L1045" s="1"/>
      <x:c r="M1045" s="1"/>
      <x:c r="N1045" s="1"/>
      <x:c r="O1045" s="1"/>
      <x:c r="P1045" s="1"/>
      <x:c r="Q1045" s="1"/>
      <x:c r="R1045" s="1"/>
      <x:c r="S1045" s="1"/>
      <x:c r="T1045" s="1"/>
      <x:c r="U1045" s="1"/>
      <x:c r="V1045" s="1"/>
      <x:c r="W1045" s="1"/>
      <x:c r="X1045" s="1"/>
      <x:c r="Y1045" s="1"/>
      <x:c r="Z1045" s="1"/>
    </x:row>
    <x:row r="1046">
      <x:c r="A1046" s="1"/>
      <x:c r="B1046" s="1"/>
      <x:c r="C1046" s="1"/>
      <x:c r="D1046" s="1"/>
      <x:c r="E1046" s="1"/>
      <x:c r="F1046" s="1"/>
      <x:c r="G1046" s="1"/>
      <x:c r="H1046" s="1"/>
      <x:c r="I1046" s="1"/>
      <x:c r="J1046" s="1"/>
      <x:c r="K1046" s="1"/>
      <x:c r="L1046" s="1"/>
      <x:c r="M1046" s="1"/>
      <x:c r="N1046" s="1"/>
      <x:c r="O1046" s="1"/>
      <x:c r="P1046" s="1"/>
      <x:c r="Q1046" s="1"/>
      <x:c r="R1046" s="1"/>
      <x:c r="S1046" s="1"/>
      <x:c r="T1046" s="1"/>
      <x:c r="U1046" s="1"/>
      <x:c r="V1046" s="1"/>
      <x:c r="W1046" s="1"/>
      <x:c r="X1046" s="1"/>
      <x:c r="Y1046" s="1"/>
      <x:c r="Z1046" s="1"/>
    </x:row>
    <x:row r="1047">
      <x:c r="A1047" s="1"/>
      <x:c r="B1047" s="1"/>
      <x:c r="C1047" s="1"/>
      <x:c r="D1047" s="1"/>
      <x:c r="E1047" s="1"/>
      <x:c r="F1047" s="1"/>
      <x:c r="G1047" s="1"/>
      <x:c r="H1047" s="1"/>
      <x:c r="I1047" s="1"/>
      <x:c r="J1047" s="1"/>
      <x:c r="K1047" s="1"/>
      <x:c r="L1047" s="1"/>
      <x:c r="M1047" s="1"/>
      <x:c r="N1047" s="1"/>
      <x:c r="O1047" s="1"/>
      <x:c r="P1047" s="1"/>
      <x:c r="Q1047" s="1"/>
      <x:c r="R1047" s="1"/>
      <x:c r="S1047" s="1"/>
      <x:c r="T1047" s="1"/>
      <x:c r="U1047" s="1"/>
      <x:c r="V1047" s="1"/>
      <x:c r="W1047" s="1"/>
      <x:c r="X1047" s="1"/>
      <x:c r="Y1047" s="1"/>
      <x:c r="Z1047" s="1"/>
    </x:row>
    <x:row r="1048">
      <x:c r="A1048" s="1"/>
      <x:c r="B1048" s="1"/>
      <x:c r="C1048" s="1"/>
      <x:c r="D1048" s="1"/>
      <x:c r="E1048" s="1"/>
      <x:c r="F1048" s="1"/>
      <x:c r="G1048" s="1"/>
      <x:c r="H1048" s="1"/>
      <x:c r="I1048" s="1"/>
      <x:c r="J1048" s="1"/>
      <x:c r="K1048" s="1"/>
      <x:c r="L1048" s="1"/>
      <x:c r="M1048" s="1"/>
      <x:c r="N1048" s="1"/>
      <x:c r="O1048" s="1"/>
      <x:c r="P1048" s="1"/>
      <x:c r="Q1048" s="1"/>
      <x:c r="R1048" s="1"/>
      <x:c r="S1048" s="1"/>
      <x:c r="T1048" s="1"/>
      <x:c r="U1048" s="1"/>
      <x:c r="V1048" s="1"/>
      <x:c r="W1048" s="1"/>
      <x:c r="X1048" s="1"/>
      <x:c r="Y1048" s="1"/>
      <x:c r="Z1048" s="1"/>
    </x:row>
    <x:row r="1049">
      <x:c r="A1049" s="1"/>
      <x:c r="B1049" s="1"/>
      <x:c r="C1049" s="1"/>
      <x:c r="D1049" s="1"/>
      <x:c r="E1049" s="1"/>
      <x:c r="F1049" s="1"/>
      <x:c r="G1049" s="1"/>
      <x:c r="H1049" s="1"/>
      <x:c r="I1049" s="1"/>
      <x:c r="J1049" s="1"/>
      <x:c r="K1049" s="1"/>
      <x:c r="L1049" s="1"/>
      <x:c r="M1049" s="1"/>
      <x:c r="N1049" s="1"/>
      <x:c r="O1049" s="1"/>
      <x:c r="P1049" s="1"/>
      <x:c r="Q1049" s="1"/>
      <x:c r="R1049" s="1"/>
      <x:c r="S1049" s="1"/>
      <x:c r="T1049" s="1"/>
      <x:c r="U1049" s="1"/>
      <x:c r="V1049" s="1"/>
      <x:c r="W1049" s="1"/>
      <x:c r="X1049" s="1"/>
      <x:c r="Y1049" s="1"/>
      <x:c r="Z1049" s="1"/>
    </x:row>
    <x:row r="1050">
      <x:c r="A1050" s="1"/>
      <x:c r="B1050" s="1"/>
      <x:c r="C1050" s="1"/>
      <x:c r="D1050" s="1"/>
      <x:c r="E1050" s="1"/>
      <x:c r="F1050" s="1"/>
      <x:c r="G1050" s="1"/>
      <x:c r="H1050" s="1"/>
      <x:c r="I1050" s="1"/>
      <x:c r="J1050" s="1"/>
      <x:c r="K1050" s="1"/>
      <x:c r="L1050" s="1"/>
      <x:c r="M1050" s="1"/>
      <x:c r="N1050" s="1"/>
      <x:c r="O1050" s="1"/>
      <x:c r="P1050" s="1"/>
      <x:c r="Q1050" s="1"/>
      <x:c r="R1050" s="1"/>
      <x:c r="S1050" s="1"/>
      <x:c r="T1050" s="1"/>
      <x:c r="U1050" s="1"/>
      <x:c r="V1050" s="1"/>
      <x:c r="W1050" s="1"/>
      <x:c r="X1050" s="1"/>
      <x:c r="Y1050" s="1"/>
      <x:c r="Z1050" s="1"/>
    </x:row>
    <x:row r="1051">
      <x:c r="A1051" s="1"/>
      <x:c r="B1051" s="1"/>
      <x:c r="C1051" s="1"/>
      <x:c r="D1051" s="1"/>
      <x:c r="E1051" s="1"/>
      <x:c r="F1051" s="1"/>
      <x:c r="G1051" s="1"/>
      <x:c r="H1051" s="1"/>
      <x:c r="I1051" s="1"/>
      <x:c r="J1051" s="1"/>
      <x:c r="K1051" s="1"/>
      <x:c r="L1051" s="1"/>
      <x:c r="M1051" s="1"/>
      <x:c r="N1051" s="1"/>
      <x:c r="O1051" s="1"/>
      <x:c r="P1051" s="1"/>
      <x:c r="Q1051" s="1"/>
      <x:c r="R1051" s="1"/>
      <x:c r="S1051" s="1"/>
      <x:c r="T1051" s="1"/>
      <x:c r="U1051" s="1"/>
      <x:c r="V1051" s="1"/>
      <x:c r="W1051" s="1"/>
      <x:c r="X1051" s="1"/>
      <x:c r="Y1051" s="1"/>
      <x:c r="Z1051" s="1"/>
    </x:row>
    <x:row r="1052">
      <x:c r="A1052" s="1"/>
      <x:c r="B1052" s="1"/>
      <x:c r="C1052" s="1"/>
      <x:c r="D1052" s="1"/>
      <x:c r="E1052" s="1"/>
      <x:c r="F1052" s="1"/>
      <x:c r="G1052" s="1"/>
      <x:c r="H1052" s="1"/>
      <x:c r="I1052" s="1"/>
      <x:c r="J1052" s="1"/>
      <x:c r="K1052" s="1"/>
      <x:c r="L1052" s="1"/>
      <x:c r="M1052" s="1"/>
      <x:c r="N1052" s="1"/>
      <x:c r="O1052" s="1"/>
      <x:c r="P1052" s="1"/>
      <x:c r="Q1052" s="1"/>
      <x:c r="R1052" s="1"/>
      <x:c r="S1052" s="1"/>
      <x:c r="T1052" s="1"/>
      <x:c r="U1052" s="1"/>
      <x:c r="V1052" s="1"/>
      <x:c r="W1052" s="1"/>
      <x:c r="X1052" s="1"/>
      <x:c r="Y1052" s="1"/>
      <x:c r="Z1052" s="1"/>
    </x:row>
    <x:row r="1053">
      <x:c r="A1053" s="1"/>
      <x:c r="B1053" s="1"/>
      <x:c r="C1053" s="1"/>
      <x:c r="D1053" s="1"/>
      <x:c r="E1053" s="1"/>
      <x:c r="F1053" s="1"/>
      <x:c r="G1053" s="1"/>
      <x:c r="H1053" s="1"/>
      <x:c r="I1053" s="1"/>
      <x:c r="J1053" s="1"/>
      <x:c r="K1053" s="1"/>
      <x:c r="L1053" s="1"/>
      <x:c r="M1053" s="1"/>
      <x:c r="N1053" s="1"/>
      <x:c r="O1053" s="1"/>
      <x:c r="P1053" s="1"/>
      <x:c r="Q1053" s="1"/>
      <x:c r="R1053" s="1"/>
      <x:c r="S1053" s="1"/>
      <x:c r="T1053" s="1"/>
      <x:c r="U1053" s="1"/>
      <x:c r="V1053" s="1"/>
      <x:c r="W1053" s="1"/>
      <x:c r="X1053" s="1"/>
      <x:c r="Y1053" s="1"/>
      <x:c r="Z1053" s="1"/>
    </x:row>
    <x:row r="1054">
      <x:c r="A1054" s="1"/>
      <x:c r="B1054" s="1"/>
      <x:c r="C1054" s="1"/>
      <x:c r="D1054" s="1"/>
      <x:c r="E1054" s="1"/>
      <x:c r="F1054" s="1"/>
      <x:c r="G1054" s="1"/>
      <x:c r="H1054" s="1"/>
      <x:c r="I1054" s="1"/>
      <x:c r="J1054" s="1"/>
      <x:c r="K1054" s="1"/>
      <x:c r="L1054" s="1"/>
      <x:c r="M1054" s="1"/>
      <x:c r="N1054" s="1"/>
      <x:c r="O1054" s="1"/>
      <x:c r="P1054" s="1"/>
      <x:c r="Q1054" s="1"/>
      <x:c r="R1054" s="1"/>
      <x:c r="S1054" s="1"/>
      <x:c r="T1054" s="1"/>
      <x:c r="U1054" s="1"/>
      <x:c r="V1054" s="1"/>
      <x:c r="W1054" s="1"/>
      <x:c r="X1054" s="1"/>
      <x:c r="Y1054" s="1"/>
      <x:c r="Z1054" s="1"/>
    </x:row>
    <x:row r="1055">
      <x:c r="A1055" s="1"/>
      <x:c r="B1055" s="1"/>
      <x:c r="C1055" s="1"/>
      <x:c r="D1055" s="1"/>
      <x:c r="E1055" s="1"/>
      <x:c r="F1055" s="1"/>
      <x:c r="G1055" s="1"/>
      <x:c r="H1055" s="1"/>
      <x:c r="I1055" s="1"/>
      <x:c r="J1055" s="1"/>
      <x:c r="K1055" s="1"/>
      <x:c r="L1055" s="1"/>
      <x:c r="M1055" s="1"/>
      <x:c r="N1055" s="1"/>
      <x:c r="O1055" s="1"/>
      <x:c r="P1055" s="1"/>
      <x:c r="Q1055" s="1"/>
      <x:c r="R1055" s="1"/>
      <x:c r="S1055" s="1"/>
      <x:c r="T1055" s="1"/>
      <x:c r="U1055" s="1"/>
      <x:c r="V1055" s="1"/>
      <x:c r="W1055" s="1"/>
      <x:c r="X1055" s="1"/>
      <x:c r="Y1055" s="1"/>
      <x:c r="Z1055" s="1"/>
    </x:row>
    <x:row r="1056">
      <x:c r="A1056" s="1"/>
      <x:c r="B1056" s="1"/>
      <x:c r="C1056" s="1"/>
      <x:c r="D1056" s="1"/>
      <x:c r="E1056" s="1"/>
      <x:c r="F1056" s="1"/>
      <x:c r="G1056" s="1"/>
      <x:c r="H1056" s="1"/>
      <x:c r="I1056" s="1"/>
      <x:c r="J1056" s="1"/>
      <x:c r="K1056" s="1"/>
      <x:c r="L1056" s="1"/>
      <x:c r="M1056" s="1"/>
      <x:c r="N1056" s="1"/>
      <x:c r="O1056" s="1"/>
      <x:c r="P1056" s="1"/>
      <x:c r="Q1056" s="1"/>
      <x:c r="R1056" s="1"/>
      <x:c r="S1056" s="1"/>
      <x:c r="T1056" s="1"/>
      <x:c r="U1056" s="1"/>
      <x:c r="V1056" s="1"/>
      <x:c r="W1056" s="1"/>
      <x:c r="X1056" s="1"/>
      <x:c r="Y1056" s="1"/>
      <x:c r="Z1056" s="1"/>
    </x:row>
    <x:row r="1057">
      <x:c r="A1057" s="1"/>
      <x:c r="B1057" s="1"/>
      <x:c r="C1057" s="1"/>
      <x:c r="D1057" s="1"/>
      <x:c r="E1057" s="1"/>
      <x:c r="F1057" s="1"/>
      <x:c r="G1057" s="1"/>
      <x:c r="H1057" s="1"/>
      <x:c r="I1057" s="1"/>
      <x:c r="J1057" s="1"/>
      <x:c r="K1057" s="1"/>
      <x:c r="L1057" s="1"/>
      <x:c r="M1057" s="1"/>
      <x:c r="N1057" s="1"/>
      <x:c r="O1057" s="1"/>
      <x:c r="P1057" s="1"/>
      <x:c r="Q1057" s="1"/>
      <x:c r="R1057" s="1"/>
      <x:c r="S1057" s="1"/>
      <x:c r="T1057" s="1"/>
      <x:c r="U1057" s="1"/>
      <x:c r="V1057" s="1"/>
      <x:c r="W1057" s="1"/>
      <x:c r="X1057" s="1"/>
      <x:c r="Y1057" s="1"/>
      <x:c r="Z1057" s="1"/>
    </x:row>
    <x:row r="1058">
      <x:c r="A1058" s="1"/>
      <x:c r="B1058" s="1"/>
      <x:c r="C1058" s="1"/>
      <x:c r="D1058" s="1"/>
      <x:c r="E1058" s="1"/>
      <x:c r="F1058" s="1"/>
      <x:c r="G1058" s="1"/>
      <x:c r="H1058" s="1"/>
      <x:c r="I1058" s="1"/>
      <x:c r="J1058" s="1"/>
      <x:c r="K1058" s="1"/>
      <x:c r="L1058" s="1"/>
      <x:c r="M1058" s="1"/>
      <x:c r="N1058" s="1"/>
      <x:c r="O1058" s="1"/>
      <x:c r="P1058" s="1"/>
      <x:c r="Q1058" s="1"/>
      <x:c r="R1058" s="1"/>
      <x:c r="S1058" s="1"/>
      <x:c r="T1058" s="1"/>
      <x:c r="U1058" s="1"/>
      <x:c r="V1058" s="1"/>
      <x:c r="W1058" s="1"/>
      <x:c r="X1058" s="1"/>
      <x:c r="Y1058" s="1"/>
      <x:c r="Z1058" s="1"/>
    </x:row>
    <x:row r="1059">
      <x:c r="A1059" s="1"/>
      <x:c r="B1059" s="1"/>
      <x:c r="C1059" s="1"/>
      <x:c r="D1059" s="1"/>
      <x:c r="E1059" s="1"/>
      <x:c r="F1059" s="1"/>
      <x:c r="G1059" s="1"/>
      <x:c r="H1059" s="1"/>
      <x:c r="I1059" s="1"/>
      <x:c r="J1059" s="1"/>
      <x:c r="K1059" s="1"/>
      <x:c r="L1059" s="1"/>
      <x:c r="M1059" s="1"/>
      <x:c r="N1059" s="1"/>
      <x:c r="O1059" s="1"/>
      <x:c r="P1059" s="1"/>
      <x:c r="Q1059" s="1"/>
      <x:c r="R1059" s="1"/>
      <x:c r="S1059" s="1"/>
      <x:c r="T1059" s="1"/>
      <x:c r="U1059" s="1"/>
      <x:c r="V1059" s="1"/>
      <x:c r="W1059" s="1"/>
      <x:c r="X1059" s="1"/>
      <x:c r="Y1059" s="1"/>
      <x:c r="Z1059" s="1"/>
    </x:row>
    <x:row r="1060">
      <x:c r="A1060" s="1"/>
      <x:c r="B1060" s="1"/>
      <x:c r="C1060" s="1"/>
      <x:c r="D1060" s="1"/>
      <x:c r="E1060" s="1"/>
      <x:c r="F1060" s="1"/>
      <x:c r="G1060" s="1"/>
      <x:c r="H1060" s="1"/>
      <x:c r="I1060" s="1"/>
      <x:c r="J1060" s="1"/>
      <x:c r="K1060" s="1"/>
      <x:c r="L1060" s="1"/>
      <x:c r="M1060" s="1"/>
      <x:c r="N1060" s="1"/>
      <x:c r="O1060" s="1"/>
      <x:c r="P1060" s="1"/>
      <x:c r="Q1060" s="1"/>
      <x:c r="R1060" s="1"/>
      <x:c r="S1060" s="1"/>
      <x:c r="T1060" s="1"/>
      <x:c r="U1060" s="1"/>
      <x:c r="V1060" s="1"/>
      <x:c r="W1060" s="1"/>
      <x:c r="X1060" s="1"/>
      <x:c r="Y1060" s="1"/>
      <x:c r="Z1060" s="1"/>
    </x:row>
    <x:row r="1061">
      <x:c r="A1061" s="1"/>
      <x:c r="B1061" s="1"/>
      <x:c r="C1061" s="1"/>
      <x:c r="D1061" s="1"/>
      <x:c r="E1061" s="1"/>
      <x:c r="F1061" s="1"/>
      <x:c r="G1061" s="1"/>
      <x:c r="H1061" s="1"/>
      <x:c r="I1061" s="1"/>
      <x:c r="J1061" s="1"/>
      <x:c r="K1061" s="1"/>
      <x:c r="L1061" s="1"/>
      <x:c r="M1061" s="1"/>
      <x:c r="N1061" s="1"/>
      <x:c r="O1061" s="1"/>
      <x:c r="P1061" s="1"/>
      <x:c r="Q1061" s="1"/>
      <x:c r="R1061" s="1"/>
      <x:c r="S1061" s="1"/>
      <x:c r="T1061" s="1"/>
      <x:c r="U1061" s="1"/>
      <x:c r="V1061" s="1"/>
      <x:c r="W1061" s="1"/>
      <x:c r="X1061" s="1"/>
      <x:c r="Y1061" s="1"/>
      <x:c r="Z1061" s="1"/>
    </x:row>
    <x:row r="1062">
      <x:c r="A1062" s="1"/>
      <x:c r="B1062" s="1"/>
      <x:c r="C1062" s="1"/>
      <x:c r="D1062" s="1"/>
      <x:c r="E1062" s="1"/>
      <x:c r="F1062" s="1"/>
      <x:c r="G1062" s="1"/>
      <x:c r="H1062" s="1"/>
      <x:c r="I1062" s="1"/>
      <x:c r="J1062" s="1"/>
      <x:c r="K1062" s="1"/>
      <x:c r="L1062" s="1"/>
      <x:c r="M1062" s="1"/>
      <x:c r="N1062" s="1"/>
      <x:c r="O1062" s="1"/>
      <x:c r="P1062" s="1"/>
      <x:c r="Q1062" s="1"/>
      <x:c r="R1062" s="1"/>
      <x:c r="S1062" s="1"/>
      <x:c r="T1062" s="1"/>
      <x:c r="U1062" s="1"/>
      <x:c r="V1062" s="1"/>
      <x:c r="W1062" s="1"/>
      <x:c r="X1062" s="1"/>
      <x:c r="Y1062" s="1"/>
      <x:c r="Z1062" s="1"/>
    </x:row>
    <x:row r="1063">
      <x:c r="A1063" s="1"/>
      <x:c r="B1063" s="1"/>
      <x:c r="C1063" s="1"/>
      <x:c r="D1063" s="1"/>
      <x:c r="E1063" s="1"/>
      <x:c r="F1063" s="1"/>
      <x:c r="G1063" s="1"/>
      <x:c r="H1063" s="1"/>
      <x:c r="I1063" s="1"/>
      <x:c r="J1063" s="1"/>
      <x:c r="K1063" s="1"/>
      <x:c r="L1063" s="1"/>
      <x:c r="M1063" s="1"/>
      <x:c r="N1063" s="1"/>
      <x:c r="O1063" s="1"/>
      <x:c r="P1063" s="1"/>
      <x:c r="Q1063" s="1"/>
      <x:c r="R1063" s="1"/>
      <x:c r="S1063" s="1"/>
      <x:c r="T1063" s="1"/>
      <x:c r="U1063" s="1"/>
      <x:c r="V1063" s="1"/>
      <x:c r="W1063" s="1"/>
      <x:c r="X1063" s="1"/>
      <x:c r="Y1063" s="1"/>
      <x:c r="Z1063" s="1"/>
    </x:row>
    <x:row r="1064">
      <x:c r="A1064" s="1"/>
      <x:c r="B1064" s="1"/>
      <x:c r="C1064" s="1"/>
      <x:c r="D1064" s="1"/>
      <x:c r="E1064" s="1"/>
      <x:c r="F1064" s="1"/>
      <x:c r="G1064" s="1"/>
      <x:c r="H1064" s="1"/>
      <x:c r="I1064" s="1"/>
      <x:c r="J1064" s="1"/>
      <x:c r="K1064" s="1"/>
      <x:c r="L1064" s="1"/>
      <x:c r="M1064" s="1"/>
      <x:c r="N1064" s="1"/>
      <x:c r="O1064" s="1"/>
      <x:c r="P1064" s="1"/>
      <x:c r="Q1064" s="1"/>
      <x:c r="R1064" s="1"/>
      <x:c r="S1064" s="1"/>
      <x:c r="T1064" s="1"/>
      <x:c r="U1064" s="1"/>
      <x:c r="V1064" s="1"/>
      <x:c r="W1064" s="1"/>
      <x:c r="X1064" s="1"/>
      <x:c r="Y1064" s="1"/>
      <x:c r="Z1064" s="1"/>
    </x:row>
    <x:row r="1065">
      <x:c r="A1065" s="1"/>
      <x:c r="B1065" s="1"/>
      <x:c r="C1065" s="1"/>
      <x:c r="D1065" s="1"/>
      <x:c r="E1065" s="1"/>
      <x:c r="F1065" s="1"/>
      <x:c r="G1065" s="1"/>
      <x:c r="H1065" s="1"/>
      <x:c r="I1065" s="1"/>
      <x:c r="J1065" s="1"/>
      <x:c r="K1065" s="1"/>
      <x:c r="L1065" s="1"/>
      <x:c r="M1065" s="1"/>
      <x:c r="N1065" s="1"/>
      <x:c r="O1065" s="1"/>
      <x:c r="P1065" s="1"/>
      <x:c r="Q1065" s="1"/>
      <x:c r="R1065" s="1"/>
      <x:c r="S1065" s="1"/>
      <x:c r="T1065" s="1"/>
      <x:c r="U1065" s="1"/>
      <x:c r="V1065" s="1"/>
      <x:c r="W1065" s="1"/>
      <x:c r="X1065" s="1"/>
      <x:c r="Y1065" s="1"/>
      <x:c r="Z1065" s="1"/>
    </x:row>
    <x:row r="1066">
      <x:c r="A1066" s="1"/>
      <x:c r="B1066" s="1"/>
      <x:c r="C1066" s="1"/>
      <x:c r="D1066" s="1"/>
      <x:c r="E1066" s="1"/>
      <x:c r="F1066" s="1"/>
      <x:c r="G1066" s="1"/>
      <x:c r="H1066" s="1"/>
      <x:c r="I1066" s="1"/>
      <x:c r="J1066" s="1"/>
      <x:c r="K1066" s="1"/>
      <x:c r="L1066" s="1"/>
      <x:c r="M1066" s="1"/>
      <x:c r="N1066" s="1"/>
      <x:c r="O1066" s="1"/>
      <x:c r="P1066" s="1"/>
      <x:c r="Q1066" s="1"/>
      <x:c r="R1066" s="1"/>
      <x:c r="S1066" s="1"/>
      <x:c r="T1066" s="1"/>
      <x:c r="U1066" s="1"/>
      <x:c r="V1066" s="1"/>
      <x:c r="W1066" s="1"/>
      <x:c r="X1066" s="1"/>
      <x:c r="Y1066" s="1"/>
      <x:c r="Z1066" s="1"/>
    </x:row>
    <x:row r="1067">
      <x:c r="A1067" s="1"/>
      <x:c r="B1067" s="1"/>
      <x:c r="C1067" s="1"/>
      <x:c r="D1067" s="1"/>
      <x:c r="E1067" s="1"/>
      <x:c r="F1067" s="1"/>
      <x:c r="G1067" s="1"/>
      <x:c r="H1067" s="1"/>
      <x:c r="I1067" s="1"/>
      <x:c r="J1067" s="1"/>
      <x:c r="K1067" s="1"/>
      <x:c r="L1067" s="1"/>
      <x:c r="M1067" s="1"/>
      <x:c r="N1067" s="1"/>
      <x:c r="O1067" s="1"/>
      <x:c r="P1067" s="1"/>
      <x:c r="Q1067" s="1"/>
      <x:c r="R1067" s="1"/>
      <x:c r="S1067" s="1"/>
      <x:c r="T1067" s="1"/>
      <x:c r="U1067" s="1"/>
      <x:c r="V1067" s="1"/>
      <x:c r="W1067" s="1"/>
      <x:c r="X1067" s="1"/>
      <x:c r="Y1067" s="1"/>
      <x:c r="Z1067" s="1"/>
    </x:row>
    <x:row r="1068">
      <x:c r="A1068" s="1"/>
      <x:c r="B1068" s="1"/>
      <x:c r="C1068" s="1"/>
      <x:c r="D1068" s="1"/>
      <x:c r="E1068" s="1"/>
      <x:c r="F1068" s="1"/>
      <x:c r="G1068" s="1"/>
      <x:c r="H1068" s="1"/>
      <x:c r="I1068" s="1"/>
      <x:c r="J1068" s="1"/>
      <x:c r="K1068" s="1"/>
      <x:c r="L1068" s="1"/>
      <x:c r="M1068" s="1"/>
      <x:c r="N1068" s="1"/>
      <x:c r="O1068" s="1"/>
      <x:c r="P1068" s="1"/>
      <x:c r="Q1068" s="1"/>
      <x:c r="R1068" s="1"/>
      <x:c r="S1068" s="1"/>
      <x:c r="T1068" s="1"/>
      <x:c r="U1068" s="1"/>
      <x:c r="V1068" s="1"/>
      <x:c r="W1068" s="1"/>
      <x:c r="X1068" s="1"/>
      <x:c r="Y1068" s="1"/>
      <x:c r="Z1068" s="1"/>
    </x:row>
    <x:row r="1069">
      <x:c r="A1069" s="1"/>
      <x:c r="B1069" s="1"/>
      <x:c r="C1069" s="1"/>
      <x:c r="D1069" s="1"/>
      <x:c r="E1069" s="1"/>
      <x:c r="F1069" s="1"/>
      <x:c r="G1069" s="1"/>
      <x:c r="H1069" s="1"/>
      <x:c r="I1069" s="1"/>
      <x:c r="J1069" s="1"/>
      <x:c r="K1069" s="1"/>
      <x:c r="L1069" s="1"/>
      <x:c r="M1069" s="1"/>
      <x:c r="N1069" s="1"/>
      <x:c r="O1069" s="1"/>
      <x:c r="P1069" s="1"/>
      <x:c r="Q1069" s="1"/>
      <x:c r="R1069" s="1"/>
      <x:c r="S1069" s="1"/>
      <x:c r="T1069" s="1"/>
      <x:c r="U1069" s="1"/>
      <x:c r="V1069" s="1"/>
      <x:c r="W1069" s="1"/>
      <x:c r="X1069" s="1"/>
      <x:c r="Y1069" s="1"/>
      <x:c r="Z1069" s="1"/>
    </x:row>
    <x:row r="1070">
      <x:c r="A1070" s="1"/>
      <x:c r="B1070" s="1"/>
      <x:c r="C1070" s="1"/>
      <x:c r="D1070" s="1"/>
      <x:c r="E1070" s="1"/>
      <x:c r="F1070" s="1"/>
      <x:c r="G1070" s="1"/>
      <x:c r="H1070" s="1"/>
      <x:c r="I1070" s="1"/>
      <x:c r="J1070" s="1"/>
      <x:c r="K1070" s="1"/>
      <x:c r="L1070" s="1"/>
      <x:c r="M1070" s="1"/>
      <x:c r="N1070" s="1"/>
      <x:c r="O1070" s="1"/>
      <x:c r="P1070" s="1"/>
      <x:c r="Q1070" s="1"/>
      <x:c r="R1070" s="1"/>
      <x:c r="S1070" s="1"/>
      <x:c r="T1070" s="1"/>
      <x:c r="U1070" s="1"/>
      <x:c r="V1070" s="1"/>
      <x:c r="W1070" s="1"/>
      <x:c r="X1070" s="1"/>
      <x:c r="Y1070" s="1"/>
      <x:c r="Z1070" s="1"/>
    </x:row>
    <x:row r="1071">
      <x:c r="A1071" s="1"/>
      <x:c r="B1071" s="1"/>
      <x:c r="C1071" s="1"/>
      <x:c r="D1071" s="1"/>
      <x:c r="E1071" s="1"/>
      <x:c r="F1071" s="1"/>
      <x:c r="G1071" s="1"/>
      <x:c r="H1071" s="1"/>
      <x:c r="I1071" s="1"/>
      <x:c r="J1071" s="1"/>
      <x:c r="K1071" s="1"/>
      <x:c r="L1071" s="1"/>
      <x:c r="M1071" s="1"/>
      <x:c r="N1071" s="1"/>
      <x:c r="O1071" s="1"/>
      <x:c r="P1071" s="1"/>
      <x:c r="Q1071" s="1"/>
      <x:c r="R1071" s="1"/>
      <x:c r="S1071" s="1"/>
      <x:c r="T1071" s="1"/>
      <x:c r="U1071" s="1"/>
      <x:c r="V1071" s="1"/>
      <x:c r="W1071" s="1"/>
      <x:c r="X1071" s="1"/>
      <x:c r="Y1071" s="1"/>
      <x:c r="Z1071" s="1"/>
    </x:row>
    <x:row r="1072">
      <x:c r="A1072" s="1"/>
      <x:c r="B1072" s="1"/>
      <x:c r="C1072" s="1"/>
      <x:c r="D1072" s="1"/>
      <x:c r="E1072" s="1"/>
      <x:c r="F1072" s="1"/>
      <x:c r="G1072" s="1"/>
      <x:c r="H1072" s="1"/>
      <x:c r="I1072" s="1"/>
      <x:c r="J1072" s="1"/>
      <x:c r="K1072" s="1"/>
      <x:c r="L1072" s="1"/>
      <x:c r="M1072" s="1"/>
      <x:c r="N1072" s="1"/>
      <x:c r="O1072" s="1"/>
      <x:c r="P1072" s="1"/>
      <x:c r="Q1072" s="1"/>
      <x:c r="R1072" s="1"/>
      <x:c r="S1072" s="1"/>
      <x:c r="T1072" s="1"/>
      <x:c r="U1072" s="1"/>
      <x:c r="V1072" s="1"/>
      <x:c r="W1072" s="1"/>
      <x:c r="X1072" s="1"/>
      <x:c r="Y1072" s="1"/>
      <x:c r="Z1072" s="1"/>
    </x:row>
    <x:row r="1073">
      <x:c r="A1073" s="1"/>
      <x:c r="B1073" s="1"/>
      <x:c r="C1073" s="1"/>
      <x:c r="D1073" s="1"/>
      <x:c r="E1073" s="1"/>
      <x:c r="F1073" s="1"/>
      <x:c r="G1073" s="1"/>
      <x:c r="H1073" s="1"/>
      <x:c r="I1073" s="1"/>
      <x:c r="J1073" s="1"/>
      <x:c r="K1073" s="1"/>
      <x:c r="L1073" s="1"/>
      <x:c r="M1073" s="1"/>
      <x:c r="N1073" s="1"/>
      <x:c r="O1073" s="1"/>
      <x:c r="P1073" s="1"/>
      <x:c r="Q1073" s="1"/>
      <x:c r="R1073" s="1"/>
      <x:c r="S1073" s="1"/>
      <x:c r="T1073" s="1"/>
      <x:c r="U1073" s="1"/>
      <x:c r="V1073" s="1"/>
      <x:c r="W1073" s="1"/>
      <x:c r="X1073" s="1"/>
      <x:c r="Y1073" s="1"/>
      <x:c r="Z1073" s="1"/>
    </x:row>
    <x:row r="1074">
      <x:c r="A1074" s="1"/>
      <x:c r="B1074" s="1"/>
      <x:c r="C1074" s="1"/>
      <x:c r="D1074" s="1"/>
      <x:c r="E1074" s="1"/>
      <x:c r="F1074" s="1"/>
      <x:c r="G1074" s="1"/>
      <x:c r="H1074" s="1"/>
      <x:c r="I1074" s="1"/>
      <x:c r="J1074" s="1"/>
      <x:c r="K1074" s="1"/>
      <x:c r="L1074" s="1"/>
      <x:c r="M1074" s="1"/>
      <x:c r="N1074" s="1"/>
      <x:c r="O1074" s="1"/>
      <x:c r="P1074" s="1"/>
      <x:c r="Q1074" s="1"/>
      <x:c r="R1074" s="1"/>
      <x:c r="S1074" s="1"/>
      <x:c r="T1074" s="1"/>
      <x:c r="U1074" s="1"/>
      <x:c r="V1074" s="1"/>
      <x:c r="W1074" s="1"/>
      <x:c r="X1074" s="1"/>
      <x:c r="Y1074" s="1"/>
      <x:c r="Z1074" s="1"/>
    </x:row>
    <x:row r="1075">
      <x:c r="A1075" s="1"/>
      <x:c r="B1075" s="1"/>
      <x:c r="C1075" s="1"/>
      <x:c r="D1075" s="1"/>
      <x:c r="E1075" s="1"/>
      <x:c r="F1075" s="1"/>
      <x:c r="G1075" s="1"/>
      <x:c r="H1075" s="1"/>
      <x:c r="I1075" s="1"/>
      <x:c r="J1075" s="1"/>
      <x:c r="K1075" s="1"/>
      <x:c r="L1075" s="1"/>
      <x:c r="M1075" s="1"/>
      <x:c r="N1075" s="1"/>
      <x:c r="O1075" s="1"/>
      <x:c r="P1075" s="1"/>
      <x:c r="Q1075" s="1"/>
      <x:c r="R1075" s="1"/>
      <x:c r="S1075" s="1"/>
      <x:c r="T1075" s="1"/>
      <x:c r="U1075" s="1"/>
      <x:c r="V1075" s="1"/>
      <x:c r="W1075" s="1"/>
      <x:c r="X1075" s="1"/>
      <x:c r="Y1075" s="1"/>
      <x:c r="Z1075" s="1"/>
    </x:row>
    <x:row r="1076">
      <x:c r="A1076" s="1"/>
      <x:c r="B1076" s="1"/>
      <x:c r="C1076" s="1"/>
      <x:c r="D1076" s="1"/>
      <x:c r="E1076" s="1"/>
      <x:c r="F1076" s="1"/>
      <x:c r="G1076" s="1"/>
      <x:c r="H1076" s="1"/>
      <x:c r="I1076" s="1"/>
      <x:c r="J1076" s="1"/>
      <x:c r="K1076" s="1"/>
      <x:c r="L1076" s="1"/>
      <x:c r="M1076" s="1"/>
      <x:c r="N1076" s="1"/>
      <x:c r="O1076" s="1"/>
      <x:c r="P1076" s="1"/>
      <x:c r="Q1076" s="1"/>
      <x:c r="R1076" s="1"/>
      <x:c r="S1076" s="1"/>
      <x:c r="T1076" s="1"/>
      <x:c r="U1076" s="1"/>
      <x:c r="V1076" s="1"/>
      <x:c r="W1076" s="1"/>
      <x:c r="X1076" s="1"/>
      <x:c r="Y1076" s="1"/>
      <x:c r="Z1076" s="1"/>
    </x:row>
    <x:row r="1077">
      <x:c r="A1077" s="1"/>
      <x:c r="B1077" s="1"/>
      <x:c r="C1077" s="1"/>
      <x:c r="D1077" s="1"/>
      <x:c r="E1077" s="1"/>
      <x:c r="F1077" s="1"/>
      <x:c r="G1077" s="1"/>
      <x:c r="H1077" s="1"/>
      <x:c r="I1077" s="1"/>
      <x:c r="J1077" s="1"/>
      <x:c r="K1077" s="1"/>
      <x:c r="L1077" s="1"/>
      <x:c r="M1077" s="1"/>
      <x:c r="N1077" s="1"/>
      <x:c r="O1077" s="1"/>
      <x:c r="P1077" s="1"/>
      <x:c r="Q1077" s="1"/>
      <x:c r="R1077" s="1"/>
      <x:c r="S1077" s="1"/>
      <x:c r="T1077" s="1"/>
      <x:c r="U1077" s="1"/>
      <x:c r="V1077" s="1"/>
      <x:c r="W1077" s="1"/>
      <x:c r="X1077" s="1"/>
      <x:c r="Y1077" s="1"/>
      <x:c r="Z1077" s="1"/>
    </x:row>
    <x:row r="1078">
      <x:c r="A1078" s="1"/>
      <x:c r="B1078" s="1"/>
      <x:c r="C1078" s="1"/>
      <x:c r="D1078" s="1"/>
      <x:c r="E1078" s="1"/>
      <x:c r="F1078" s="1"/>
      <x:c r="G1078" s="1"/>
      <x:c r="H1078" s="1"/>
      <x:c r="I1078" s="1"/>
      <x:c r="J1078" s="1"/>
      <x:c r="K1078" s="1"/>
      <x:c r="L1078" s="1"/>
      <x:c r="M1078" s="1"/>
      <x:c r="N1078" s="1"/>
      <x:c r="O1078" s="1"/>
      <x:c r="P1078" s="1"/>
      <x:c r="Q1078" s="1"/>
      <x:c r="R1078" s="1"/>
      <x:c r="S1078" s="1"/>
      <x:c r="T1078" s="1"/>
      <x:c r="U1078" s="1"/>
      <x:c r="V1078" s="1"/>
      <x:c r="W1078" s="1"/>
      <x:c r="X1078" s="1"/>
      <x:c r="Y1078" s="1"/>
      <x:c r="Z1078" s="1"/>
    </x:row>
    <x:row r="1079">
      <x:c r="A1079" s="1"/>
      <x:c r="B1079" s="1"/>
      <x:c r="C1079" s="1"/>
      <x:c r="D1079" s="1"/>
      <x:c r="E1079" s="1"/>
      <x:c r="F1079" s="1"/>
      <x:c r="G1079" s="1"/>
      <x:c r="H1079" s="1"/>
      <x:c r="I1079" s="1"/>
      <x:c r="J1079" s="1"/>
      <x:c r="K1079" s="1"/>
      <x:c r="L1079" s="1"/>
      <x:c r="M1079" s="1"/>
      <x:c r="N1079" s="1"/>
      <x:c r="O1079" s="1"/>
      <x:c r="P1079" s="1"/>
      <x:c r="Q1079" s="1"/>
      <x:c r="R1079" s="1"/>
      <x:c r="S1079" s="1"/>
      <x:c r="T1079" s="1"/>
      <x:c r="U1079" s="1"/>
      <x:c r="V1079" s="1"/>
      <x:c r="W1079" s="1"/>
      <x:c r="X1079" s="1"/>
      <x:c r="Y1079" s="1"/>
      <x:c r="Z1079" s="1"/>
    </x:row>
    <x:row r="1080">
      <x:c r="A1080" s="1"/>
      <x:c r="B1080" s="1"/>
      <x:c r="C1080" s="1"/>
      <x:c r="D1080" s="1"/>
      <x:c r="E1080" s="1"/>
      <x:c r="F1080" s="1"/>
      <x:c r="G1080" s="1"/>
      <x:c r="H1080" s="1"/>
      <x:c r="I1080" s="1"/>
      <x:c r="J1080" s="1"/>
      <x:c r="K1080" s="1"/>
      <x:c r="L1080" s="1"/>
      <x:c r="M1080" s="1"/>
      <x:c r="N1080" s="1"/>
      <x:c r="O1080" s="1"/>
      <x:c r="P1080" s="1"/>
      <x:c r="Q1080" s="1"/>
      <x:c r="R1080" s="1"/>
      <x:c r="S1080" s="1"/>
      <x:c r="T1080" s="1"/>
      <x:c r="U1080" s="1"/>
      <x:c r="V1080" s="1"/>
      <x:c r="W1080" s="1"/>
      <x:c r="X1080" s="1"/>
      <x:c r="Y1080" s="1"/>
      <x:c r="Z1080" s="1"/>
    </x:row>
    <x:row r="1081">
      <x:c r="A1081" s="1"/>
      <x:c r="B1081" s="1"/>
      <x:c r="C1081" s="1"/>
      <x:c r="D1081" s="1"/>
      <x:c r="E1081" s="1"/>
      <x:c r="F1081" s="1"/>
      <x:c r="G1081" s="1"/>
      <x:c r="H1081" s="1"/>
      <x:c r="I1081" s="1"/>
      <x:c r="J1081" s="1"/>
      <x:c r="K1081" s="1"/>
      <x:c r="L1081" s="1"/>
      <x:c r="M1081" s="1"/>
      <x:c r="N1081" s="1"/>
      <x:c r="O1081" s="1"/>
      <x:c r="P1081" s="1"/>
      <x:c r="Q1081" s="1"/>
      <x:c r="R1081" s="1"/>
      <x:c r="S1081" s="1"/>
      <x:c r="T1081" s="1"/>
      <x:c r="U1081" s="1"/>
      <x:c r="V1081" s="1"/>
      <x:c r="W1081" s="1"/>
      <x:c r="X1081" s="1"/>
      <x:c r="Y1081" s="1"/>
      <x:c r="Z1081" s="1"/>
    </x:row>
    <x:row r="1082">
      <x:c r="A1082" s="1"/>
      <x:c r="B1082" s="1"/>
      <x:c r="C1082" s="1"/>
      <x:c r="D1082" s="1"/>
      <x:c r="E1082" s="1"/>
      <x:c r="F1082" s="1"/>
      <x:c r="G1082" s="1"/>
      <x:c r="H1082" s="1"/>
      <x:c r="I1082" s="1"/>
      <x:c r="J1082" s="1"/>
      <x:c r="K1082" s="1"/>
      <x:c r="L1082" s="1"/>
      <x:c r="M1082" s="1"/>
      <x:c r="N1082" s="1"/>
      <x:c r="O1082" s="1"/>
      <x:c r="P1082" s="1"/>
      <x:c r="Q1082" s="1"/>
      <x:c r="R1082" s="1"/>
      <x:c r="S1082" s="1"/>
      <x:c r="T1082" s="1"/>
      <x:c r="U1082" s="1"/>
      <x:c r="V1082" s="1"/>
      <x:c r="W1082" s="1"/>
      <x:c r="X1082" s="1"/>
      <x:c r="Y1082" s="1"/>
      <x:c r="Z1082" s="1"/>
    </x:row>
    <x:row r="1083">
      <x:c r="A1083" s="1"/>
      <x:c r="B1083" s="1"/>
      <x:c r="C1083" s="1"/>
      <x:c r="D1083" s="1"/>
      <x:c r="E1083" s="1"/>
      <x:c r="F1083" s="1"/>
      <x:c r="G1083" s="1"/>
      <x:c r="H1083" s="1"/>
      <x:c r="I1083" s="1"/>
      <x:c r="J1083" s="1"/>
      <x:c r="K1083" s="1"/>
      <x:c r="L1083" s="1"/>
      <x:c r="M1083" s="1"/>
      <x:c r="N1083" s="1"/>
      <x:c r="O1083" s="1"/>
      <x:c r="P1083" s="1"/>
      <x:c r="Q1083" s="1"/>
      <x:c r="R1083" s="1"/>
      <x:c r="S1083" s="1"/>
      <x:c r="T1083" s="1"/>
      <x:c r="U1083" s="1"/>
      <x:c r="V1083" s="1"/>
      <x:c r="W1083" s="1"/>
      <x:c r="X1083" s="1"/>
      <x:c r="Y1083" s="1"/>
      <x:c r="Z1083" s="1"/>
    </x:row>
    <x:row r="1084">
      <x:c r="A1084" s="1"/>
      <x:c r="B1084" s="1"/>
      <x:c r="C1084" s="1"/>
      <x:c r="D1084" s="1"/>
      <x:c r="E1084" s="1"/>
      <x:c r="F1084" s="1"/>
      <x:c r="G1084" s="1"/>
      <x:c r="H1084" s="1"/>
      <x:c r="I1084" s="1"/>
      <x:c r="J1084" s="1"/>
      <x:c r="K1084" s="1"/>
      <x:c r="L1084" s="1"/>
      <x:c r="M1084" s="1"/>
      <x:c r="N1084" s="1"/>
      <x:c r="O1084" s="1"/>
      <x:c r="P1084" s="1"/>
      <x:c r="Q1084" s="1"/>
      <x:c r="R1084" s="1"/>
      <x:c r="S1084" s="1"/>
      <x:c r="T1084" s="1"/>
      <x:c r="U1084" s="1"/>
      <x:c r="V1084" s="1"/>
      <x:c r="W1084" s="1"/>
      <x:c r="X1084" s="1"/>
      <x:c r="Y1084" s="1"/>
      <x:c r="Z1084" s="1"/>
    </x:row>
    <x:row r="1085">
      <x:c r="A1085" s="1"/>
      <x:c r="B1085" s="1"/>
      <x:c r="C1085" s="1"/>
      <x:c r="D1085" s="1"/>
      <x:c r="E1085" s="1"/>
      <x:c r="F1085" s="1"/>
      <x:c r="G1085" s="1"/>
      <x:c r="H1085" s="1"/>
      <x:c r="I1085" s="1"/>
      <x:c r="J1085" s="1"/>
      <x:c r="K1085" s="1"/>
      <x:c r="L1085" s="1"/>
      <x:c r="M1085" s="1"/>
      <x:c r="N1085" s="1"/>
      <x:c r="O1085" s="1"/>
      <x:c r="P1085" s="1"/>
      <x:c r="Q1085" s="1"/>
      <x:c r="R1085" s="1"/>
      <x:c r="S1085" s="1"/>
      <x:c r="T1085" s="1"/>
      <x:c r="U1085" s="1"/>
      <x:c r="V1085" s="1"/>
      <x:c r="W1085" s="1"/>
      <x:c r="X1085" s="1"/>
      <x:c r="Y1085" s="1"/>
      <x:c r="Z1085" s="1"/>
    </x:row>
    <x:row r="1086">
      <x:c r="A1086" s="1"/>
      <x:c r="B1086" s="1"/>
      <x:c r="C1086" s="1"/>
      <x:c r="D1086" s="1"/>
      <x:c r="E1086" s="1"/>
      <x:c r="F1086" s="1"/>
      <x:c r="G1086" s="1"/>
      <x:c r="H1086" s="1"/>
      <x:c r="I1086" s="1"/>
      <x:c r="J1086" s="1"/>
      <x:c r="K1086" s="1"/>
      <x:c r="L1086" s="1"/>
      <x:c r="M1086" s="1"/>
      <x:c r="N1086" s="1"/>
      <x:c r="O1086" s="1"/>
      <x:c r="P1086" s="1"/>
      <x:c r="Q1086" s="1"/>
      <x:c r="R1086" s="1"/>
      <x:c r="S1086" s="1"/>
      <x:c r="T1086" s="1"/>
      <x:c r="U1086" s="1"/>
      <x:c r="V1086" s="1"/>
      <x:c r="W1086" s="1"/>
      <x:c r="X1086" s="1"/>
      <x:c r="Y1086" s="1"/>
      <x:c r="Z1086" s="1"/>
    </x:row>
    <x:row r="1087">
      <x:c r="A1087" s="1"/>
      <x:c r="B1087" s="1"/>
      <x:c r="C1087" s="1"/>
      <x:c r="D1087" s="1"/>
      <x:c r="E1087" s="1"/>
      <x:c r="F1087" s="1"/>
      <x:c r="G1087" s="1"/>
      <x:c r="H1087" s="1"/>
      <x:c r="I1087" s="1"/>
      <x:c r="J1087" s="1"/>
      <x:c r="K1087" s="1"/>
      <x:c r="L1087" s="1"/>
      <x:c r="M1087" s="1"/>
      <x:c r="N1087" s="1"/>
      <x:c r="O1087" s="1"/>
      <x:c r="P1087" s="1"/>
      <x:c r="Q1087" s="1"/>
      <x:c r="R1087" s="1"/>
      <x:c r="S1087" s="1"/>
      <x:c r="T1087" s="1"/>
      <x:c r="U1087" s="1"/>
      <x:c r="V1087" s="1"/>
      <x:c r="W1087" s="1"/>
      <x:c r="X1087" s="1"/>
      <x:c r="Y1087" s="1"/>
      <x:c r="Z1087" s="1"/>
    </x:row>
    <x:row r="1088">
      <x:c r="A1088" s="1"/>
      <x:c r="B1088" s="1"/>
      <x:c r="C1088" s="1"/>
      <x:c r="D1088" s="1"/>
      <x:c r="E1088" s="1"/>
      <x:c r="F1088" s="1"/>
      <x:c r="G1088" s="1"/>
      <x:c r="H1088" s="1"/>
      <x:c r="I1088" s="1"/>
      <x:c r="J1088" s="1"/>
      <x:c r="K1088" s="1"/>
      <x:c r="L1088" s="1"/>
      <x:c r="M1088" s="1"/>
      <x:c r="N1088" s="1"/>
      <x:c r="O1088" s="1"/>
      <x:c r="P1088" s="1"/>
      <x:c r="Q1088" s="1"/>
      <x:c r="R1088" s="1"/>
      <x:c r="S1088" s="1"/>
      <x:c r="T1088" s="1"/>
      <x:c r="U1088" s="1"/>
      <x:c r="V1088" s="1"/>
      <x:c r="W1088" s="1"/>
      <x:c r="X1088" s="1"/>
      <x:c r="Y1088" s="1"/>
      <x:c r="Z1088" s="1"/>
    </x:row>
    <x:row r="1089">
      <x:c r="A1089" s="1"/>
      <x:c r="B1089" s="1"/>
      <x:c r="C1089" s="1"/>
      <x:c r="D1089" s="1"/>
      <x:c r="E1089" s="1"/>
      <x:c r="F1089" s="1"/>
      <x:c r="G1089" s="1"/>
      <x:c r="H1089" s="1"/>
      <x:c r="I1089" s="1"/>
      <x:c r="J1089" s="1"/>
      <x:c r="K1089" s="1"/>
      <x:c r="L1089" s="1"/>
      <x:c r="M1089" s="1"/>
      <x:c r="N1089" s="1"/>
      <x:c r="O1089" s="1"/>
      <x:c r="P1089" s="1"/>
      <x:c r="Q1089" s="1"/>
      <x:c r="R1089" s="1"/>
      <x:c r="S1089" s="1"/>
      <x:c r="T1089" s="1"/>
      <x:c r="U1089" s="1"/>
      <x:c r="V1089" s="1"/>
      <x:c r="W1089" s="1"/>
      <x:c r="X1089" s="1"/>
      <x:c r="Y1089" s="1"/>
      <x:c r="Z1089" s="1"/>
    </x:row>
    <x:row r="1090">
      <x:c r="A1090" s="1"/>
      <x:c r="B1090" s="1"/>
      <x:c r="C1090" s="1"/>
      <x:c r="D1090" s="1"/>
      <x:c r="E1090" s="1"/>
      <x:c r="F1090" s="1"/>
      <x:c r="G1090" s="1"/>
      <x:c r="H1090" s="1"/>
      <x:c r="I1090" s="1"/>
      <x:c r="J1090" s="1"/>
      <x:c r="K1090" s="1"/>
      <x:c r="L1090" s="1"/>
      <x:c r="M1090" s="1"/>
      <x:c r="N1090" s="1"/>
      <x:c r="O1090" s="1"/>
      <x:c r="P1090" s="1"/>
      <x:c r="Q1090" s="1"/>
      <x:c r="R1090" s="1"/>
      <x:c r="S1090" s="1"/>
      <x:c r="T1090" s="1"/>
      <x:c r="U1090" s="1"/>
      <x:c r="V1090" s="1"/>
      <x:c r="W1090" s="1"/>
      <x:c r="X1090" s="1"/>
      <x:c r="Y1090" s="1"/>
      <x:c r="Z1090" s="1"/>
    </x:row>
    <x:row r="1091">
      <x:c r="A1091" s="1"/>
      <x:c r="B1091" s="1"/>
      <x:c r="C1091" s="1"/>
      <x:c r="D1091" s="1"/>
      <x:c r="E1091" s="1"/>
      <x:c r="F1091" s="1"/>
      <x:c r="G1091" s="1"/>
      <x:c r="H1091" s="1"/>
      <x:c r="I1091" s="1"/>
      <x:c r="J1091" s="1"/>
      <x:c r="K1091" s="1"/>
      <x:c r="L1091" s="1"/>
      <x:c r="M1091" s="1"/>
      <x:c r="N1091" s="1"/>
      <x:c r="O1091" s="1"/>
      <x:c r="P1091" s="1"/>
      <x:c r="Q1091" s="1"/>
      <x:c r="R1091" s="1"/>
      <x:c r="S1091" s="1"/>
      <x:c r="T1091" s="1"/>
      <x:c r="U1091" s="1"/>
      <x:c r="V1091" s="1"/>
      <x:c r="W1091" s="1"/>
      <x:c r="X1091" s="1"/>
      <x:c r="Y1091" s="1"/>
      <x:c r="Z1091" s="1"/>
    </x:row>
    <x:row r="1092">
      <x:c r="A1092" s="1"/>
      <x:c r="B1092" s="1"/>
      <x:c r="C1092" s="1"/>
      <x:c r="D1092" s="1"/>
      <x:c r="E1092" s="1"/>
      <x:c r="F1092" s="1"/>
      <x:c r="G1092" s="1"/>
      <x:c r="H1092" s="1"/>
      <x:c r="I1092" s="1"/>
      <x:c r="J1092" s="1"/>
      <x:c r="K1092" s="1"/>
      <x:c r="L1092" s="1"/>
      <x:c r="M1092" s="1"/>
      <x:c r="N1092" s="1"/>
      <x:c r="O1092" s="1"/>
      <x:c r="P1092" s="1"/>
      <x:c r="Q1092" s="1"/>
      <x:c r="R1092" s="1"/>
      <x:c r="S1092" s="1"/>
      <x:c r="T1092" s="1"/>
      <x:c r="U1092" s="1"/>
      <x:c r="V1092" s="1"/>
      <x:c r="W1092" s="1"/>
      <x:c r="X1092" s="1"/>
      <x:c r="Y1092" s="1"/>
      <x:c r="Z1092" s="1"/>
    </x:row>
    <x:row r="1093">
      <x:c r="A1093" s="1"/>
      <x:c r="B1093" s="1"/>
      <x:c r="C1093" s="1"/>
      <x:c r="D1093" s="1"/>
      <x:c r="E1093" s="1"/>
      <x:c r="F1093" s="1"/>
      <x:c r="G1093" s="1"/>
      <x:c r="H1093" s="1"/>
      <x:c r="I1093" s="1"/>
      <x:c r="J1093" s="1"/>
      <x:c r="K1093" s="1"/>
      <x:c r="L1093" s="1"/>
      <x:c r="M1093" s="1"/>
      <x:c r="N1093" s="1"/>
      <x:c r="O1093" s="1"/>
      <x:c r="P1093" s="1"/>
      <x:c r="Q1093" s="1"/>
      <x:c r="R1093" s="1"/>
      <x:c r="S1093" s="1"/>
      <x:c r="T1093" s="1"/>
      <x:c r="U1093" s="1"/>
      <x:c r="V1093" s="1"/>
      <x:c r="W1093" s="1"/>
      <x:c r="X1093" s="1"/>
      <x:c r="Y1093" s="1"/>
      <x:c r="Z1093" s="1"/>
    </x:row>
    <x:row r="1094">
      <x:c r="A1094" s="1"/>
      <x:c r="B1094" s="1"/>
      <x:c r="C1094" s="1"/>
      <x:c r="D1094" s="1"/>
      <x:c r="E1094" s="1"/>
      <x:c r="F1094" s="1"/>
      <x:c r="G1094" s="1"/>
      <x:c r="H1094" s="1"/>
      <x:c r="I1094" s="1"/>
      <x:c r="J1094" s="1"/>
      <x:c r="K1094" s="1"/>
      <x:c r="L1094" s="1"/>
      <x:c r="M1094" s="1"/>
      <x:c r="N1094" s="1"/>
      <x:c r="O1094" s="1"/>
      <x:c r="P1094" s="1"/>
      <x:c r="Q1094" s="1"/>
      <x:c r="R1094" s="1"/>
      <x:c r="S1094" s="1"/>
      <x:c r="T1094" s="1"/>
      <x:c r="U1094" s="1"/>
      <x:c r="V1094" s="1"/>
      <x:c r="W1094" s="1"/>
      <x:c r="X1094" s="1"/>
      <x:c r="Y1094" s="1"/>
      <x:c r="Z1094" s="1"/>
    </x:row>
    <x:row r="1095">
      <x:c r="A1095" s="1"/>
      <x:c r="B1095" s="1"/>
      <x:c r="C1095" s="1"/>
      <x:c r="D1095" s="1"/>
      <x:c r="E1095" s="1"/>
      <x:c r="F1095" s="1"/>
      <x:c r="G1095" s="1"/>
      <x:c r="H1095" s="1"/>
      <x:c r="I1095" s="1"/>
      <x:c r="J1095" s="1"/>
      <x:c r="K1095" s="1"/>
      <x:c r="L1095" s="1"/>
      <x:c r="M1095" s="1"/>
      <x:c r="N1095" s="1"/>
      <x:c r="O1095" s="1"/>
      <x:c r="P1095" s="1"/>
      <x:c r="Q1095" s="1"/>
      <x:c r="R1095" s="1"/>
      <x:c r="S1095" s="1"/>
      <x:c r="T1095" s="1"/>
      <x:c r="U1095" s="1"/>
      <x:c r="V1095" s="1"/>
      <x:c r="W1095" s="1"/>
      <x:c r="X1095" s="1"/>
      <x:c r="Y1095" s="1"/>
      <x:c r="Z1095" s="1"/>
    </x:row>
    <x:row r="1096">
      <x:c r="A1096" s="1"/>
      <x:c r="B1096" s="1"/>
      <x:c r="C1096" s="1"/>
      <x:c r="D1096" s="1"/>
      <x:c r="E1096" s="1"/>
      <x:c r="F1096" s="1"/>
      <x:c r="G1096" s="1"/>
      <x:c r="H1096" s="1"/>
      <x:c r="I1096" s="1"/>
      <x:c r="J1096" s="1"/>
      <x:c r="K1096" s="1"/>
      <x:c r="L1096" s="1"/>
      <x:c r="M1096" s="1"/>
      <x:c r="N1096" s="1"/>
      <x:c r="O1096" s="1"/>
      <x:c r="P1096" s="1"/>
      <x:c r="Q1096" s="1"/>
      <x:c r="R1096" s="1"/>
      <x:c r="S1096" s="1"/>
      <x:c r="T1096" s="1"/>
      <x:c r="U1096" s="1"/>
      <x:c r="V1096" s="1"/>
      <x:c r="W1096" s="1"/>
      <x:c r="X1096" s="1"/>
      <x:c r="Y1096" s="1"/>
      <x:c r="Z1096" s="1"/>
    </x:row>
    <x:row r="1097">
      <x:c r="A1097" s="1"/>
      <x:c r="B1097" s="1"/>
      <x:c r="C1097" s="1"/>
      <x:c r="D1097" s="1"/>
      <x:c r="E1097" s="1"/>
      <x:c r="F1097" s="1"/>
      <x:c r="G1097" s="1"/>
      <x:c r="H1097" s="1"/>
      <x:c r="I1097" s="1"/>
      <x:c r="J1097" s="1"/>
      <x:c r="K1097" s="1"/>
      <x:c r="L1097" s="1"/>
      <x:c r="M1097" s="1"/>
      <x:c r="N1097" s="1"/>
      <x:c r="O1097" s="1"/>
      <x:c r="P1097" s="1"/>
      <x:c r="Q1097" s="1"/>
      <x:c r="R1097" s="1"/>
      <x:c r="S1097" s="1"/>
      <x:c r="T1097" s="1"/>
      <x:c r="U1097" s="1"/>
      <x:c r="V1097" s="1"/>
      <x:c r="W1097" s="1"/>
      <x:c r="X1097" s="1"/>
      <x:c r="Y1097" s="1"/>
      <x:c r="Z1097" s="1"/>
    </x:row>
    <x:row r="1098">
      <x:c r="A1098" s="1"/>
      <x:c r="B1098" s="1"/>
      <x:c r="C1098" s="1"/>
      <x:c r="D1098" s="1"/>
      <x:c r="E1098" s="1"/>
      <x:c r="F1098" s="1"/>
      <x:c r="G1098" s="1"/>
      <x:c r="H1098" s="1"/>
      <x:c r="I1098" s="1"/>
      <x:c r="J1098" s="1"/>
      <x:c r="K1098" s="1"/>
      <x:c r="L1098" s="1"/>
      <x:c r="M1098" s="1"/>
      <x:c r="N1098" s="1"/>
      <x:c r="O1098" s="1"/>
      <x:c r="P1098" s="1"/>
      <x:c r="Q1098" s="1"/>
      <x:c r="R1098" s="1"/>
      <x:c r="S1098" s="1"/>
      <x:c r="T1098" s="1"/>
      <x:c r="U1098" s="1"/>
      <x:c r="V1098" s="1"/>
      <x:c r="W1098" s="1"/>
      <x:c r="X1098" s="1"/>
      <x:c r="Y1098" s="1"/>
      <x:c r="Z1098" s="1"/>
    </x:row>
    <x:row r="1099">
      <x:c r="A1099" s="1"/>
      <x:c r="B1099" s="1"/>
      <x:c r="C1099" s="1"/>
      <x:c r="D1099" s="1"/>
      <x:c r="E1099" s="1"/>
      <x:c r="F1099" s="1"/>
      <x:c r="G1099" s="1"/>
      <x:c r="H1099" s="1"/>
      <x:c r="I1099" s="1"/>
      <x:c r="J1099" s="1"/>
      <x:c r="K1099" s="1"/>
      <x:c r="L1099" s="1"/>
      <x:c r="M1099" s="1"/>
      <x:c r="N1099" s="1"/>
      <x:c r="O1099" s="1"/>
      <x:c r="P1099" s="1"/>
      <x:c r="Q1099" s="1"/>
      <x:c r="R1099" s="1"/>
      <x:c r="S1099" s="1"/>
      <x:c r="T1099" s="1"/>
      <x:c r="U1099" s="1"/>
      <x:c r="V1099" s="1"/>
      <x:c r="W1099" s="1"/>
      <x:c r="X1099" s="1"/>
      <x:c r="Y1099" s="1"/>
      <x:c r="Z1099" s="1"/>
    </x:row>
    <x:row r="1100">
      <x:c r="A1100" s="1"/>
      <x:c r="B1100" s="1"/>
      <x:c r="C1100" s="1"/>
      <x:c r="D1100" s="1"/>
      <x:c r="E1100" s="1"/>
      <x:c r="F1100" s="1"/>
      <x:c r="G1100" s="1"/>
      <x:c r="H1100" s="1"/>
      <x:c r="I1100" s="1"/>
      <x:c r="J1100" s="1"/>
      <x:c r="K1100" s="1"/>
      <x:c r="L1100" s="1"/>
      <x:c r="M1100" s="1"/>
      <x:c r="N1100" s="1"/>
      <x:c r="O1100" s="1"/>
      <x:c r="P1100" s="1"/>
      <x:c r="Q1100" s="1"/>
      <x:c r="R1100" s="1"/>
      <x:c r="S1100" s="1"/>
      <x:c r="T1100" s="1"/>
      <x:c r="U1100" s="1"/>
      <x:c r="V1100" s="1"/>
      <x:c r="W1100" s="1"/>
      <x:c r="X1100" s="1"/>
      <x:c r="Y1100" s="1"/>
      <x:c r="Z1100" s="1"/>
    </x:row>
  </x:sheetData>
  <x:mergeCells>
    <x:mergeCell ref="A2:O2"/>
    <x:mergeCell ref="A3:O3"/>
    <x:mergeCell ref="A4:O4"/>
    <x:mergeCell ref="Q2:R2"/>
  </x:mergeCells>
  <x:conditionalFormatting sqref="R15:R15">
    <x:cfRule type="cellIs" dxfId="0" priority="1" operator="notEqual">
      <x:formula>0</x:formula>
    </x:cfRule>
  </x:conditionalFormatting>
  <x:dataValidations count="1">
    <x:dataValidation type="list" sqref="L7:L1006">
      <x:formula1>"Operating,Investing,Financing,Noncash"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ff89ac9f6946e3"/>
  </x:tableParts>
</x:worksheet>
</file>